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GitDreamJourney\GameDesign\数值文档\"/>
    </mc:Choice>
  </mc:AlternateContent>
  <xr:revisionPtr revIDLastSave="0" documentId="13_ncr:1_{614FDF80-34AB-4C59-85D6-9F8DD4D09F2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首页经验" sheetId="2" r:id="rId1"/>
    <sheet name="怪物经验" sheetId="1" r:id="rId2"/>
    <sheet name="任务经验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2" i="2"/>
  <c r="B13" i="2"/>
  <c r="B14" i="2"/>
  <c r="B38" i="2"/>
  <c r="B49" i="2"/>
  <c r="B50" i="2"/>
  <c r="B61" i="2"/>
  <c r="B62" i="2"/>
  <c r="F2" i="2"/>
  <c r="G2" i="2" s="1"/>
  <c r="B2" i="2" s="1"/>
  <c r="F3" i="2"/>
  <c r="G3" i="2" s="1"/>
  <c r="B3" i="2" s="1"/>
  <c r="F4" i="2"/>
  <c r="F5" i="2"/>
  <c r="F6" i="2"/>
  <c r="F7" i="2"/>
  <c r="F8" i="2"/>
  <c r="F9" i="2"/>
  <c r="F10" i="2"/>
  <c r="G10" i="2" s="1"/>
  <c r="B10" i="2" s="1"/>
  <c r="F11" i="2"/>
  <c r="G11" i="2" s="1"/>
  <c r="B11" i="2" s="1"/>
  <c r="F12" i="2"/>
  <c r="F13" i="2"/>
  <c r="G13" i="2" s="1"/>
  <c r="F14" i="2"/>
  <c r="G14" i="2" s="1"/>
  <c r="F15" i="2"/>
  <c r="G15" i="2" s="1"/>
  <c r="B15" i="2" s="1"/>
  <c r="F16" i="2"/>
  <c r="F17" i="2"/>
  <c r="F18" i="2"/>
  <c r="F19" i="2"/>
  <c r="F20" i="2"/>
  <c r="F21" i="2"/>
  <c r="G21" i="2" s="1"/>
  <c r="B21" i="2" s="1"/>
  <c r="F22" i="2"/>
  <c r="G22" i="2" s="1"/>
  <c r="B22" i="2" s="1"/>
  <c r="F23" i="2"/>
  <c r="G23" i="2" s="1"/>
  <c r="B23" i="2" s="1"/>
  <c r="F24" i="2"/>
  <c r="G24" i="2" s="1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G37" i="2" s="1"/>
  <c r="B37" i="2" s="1"/>
  <c r="F38" i="2"/>
  <c r="G38" i="2" s="1"/>
  <c r="F39" i="2"/>
  <c r="G39" i="2" s="1"/>
  <c r="B39" i="2" s="1"/>
  <c r="F40" i="2"/>
  <c r="F41" i="2"/>
  <c r="F42" i="2"/>
  <c r="F43" i="2"/>
  <c r="F44" i="2"/>
  <c r="F45" i="2"/>
  <c r="F46" i="2"/>
  <c r="F47" i="2"/>
  <c r="F48" i="2"/>
  <c r="G48" i="2" s="1"/>
  <c r="F49" i="2"/>
  <c r="G49" i="2" s="1"/>
  <c r="F50" i="2"/>
  <c r="G50" i="2" s="1"/>
  <c r="F51" i="2"/>
  <c r="G51" i="2" s="1"/>
  <c r="B51" i="2" s="1"/>
  <c r="F52" i="2"/>
  <c r="F53" i="2"/>
  <c r="F54" i="2"/>
  <c r="F55" i="2"/>
  <c r="F56" i="2"/>
  <c r="F57" i="2"/>
  <c r="F58" i="2"/>
  <c r="F59" i="2"/>
  <c r="F60" i="2"/>
  <c r="G60" i="2" s="1"/>
  <c r="F61" i="2"/>
  <c r="G61" i="2" s="1"/>
  <c r="F62" i="2"/>
  <c r="G62" i="2" s="1"/>
  <c r="F63" i="2"/>
  <c r="G63" i="2" s="1"/>
  <c r="B63" i="2" s="1"/>
  <c r="F64" i="2"/>
  <c r="F65" i="2"/>
  <c r="F66" i="2"/>
  <c r="F67" i="2"/>
  <c r="F68" i="2"/>
  <c r="F69" i="2"/>
  <c r="F70" i="2"/>
  <c r="F71" i="2"/>
  <c r="G71" i="2" s="1"/>
  <c r="B71" i="2" s="1"/>
  <c r="G33" i="2"/>
  <c r="B33" i="2" s="1"/>
  <c r="G45" i="2"/>
  <c r="B45" i="2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B24" i="2" s="1"/>
  <c r="H25" i="2"/>
  <c r="H26" i="2"/>
  <c r="H27" i="2"/>
  <c r="H28" i="2"/>
  <c r="H29" i="2"/>
  <c r="H30" i="2"/>
  <c r="H31" i="2"/>
  <c r="H32" i="2"/>
  <c r="H33" i="2"/>
  <c r="H34" i="2"/>
  <c r="H35" i="2"/>
  <c r="H36" i="2"/>
  <c r="B36" i="2" s="1"/>
  <c r="H37" i="2"/>
  <c r="H38" i="2"/>
  <c r="H39" i="2"/>
  <c r="H40" i="2"/>
  <c r="H41" i="2"/>
  <c r="H42" i="2"/>
  <c r="H43" i="2"/>
  <c r="H44" i="2"/>
  <c r="H45" i="2"/>
  <c r="H46" i="2"/>
  <c r="H47" i="2"/>
  <c r="H48" i="2"/>
  <c r="B48" i="2" s="1"/>
  <c r="H49" i="2"/>
  <c r="H50" i="2"/>
  <c r="H51" i="2"/>
  <c r="H52" i="2"/>
  <c r="H53" i="2"/>
  <c r="H54" i="2"/>
  <c r="H55" i="2"/>
  <c r="H56" i="2"/>
  <c r="H57" i="2"/>
  <c r="H58" i="2"/>
  <c r="H59" i="2"/>
  <c r="H60" i="2"/>
  <c r="B60" i="2" s="1"/>
  <c r="H61" i="2"/>
  <c r="H62" i="2"/>
  <c r="H63" i="2"/>
  <c r="H64" i="2"/>
  <c r="H65" i="2"/>
  <c r="H66" i="2"/>
  <c r="H67" i="2"/>
  <c r="H68" i="2"/>
  <c r="H69" i="2"/>
  <c r="H70" i="2"/>
  <c r="H71" i="2"/>
  <c r="H2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2" i="3"/>
  <c r="G4" i="2"/>
  <c r="B4" i="2" s="1"/>
  <c r="G5" i="2"/>
  <c r="B5" i="2" s="1"/>
  <c r="G6" i="2"/>
  <c r="B6" i="2" s="1"/>
  <c r="G7" i="2"/>
  <c r="B7" i="2" s="1"/>
  <c r="G8" i="2"/>
  <c r="B8" i="2" s="1"/>
  <c r="G16" i="2"/>
  <c r="B16" i="2" s="1"/>
  <c r="G17" i="2"/>
  <c r="B17" i="2" s="1"/>
  <c r="G18" i="2"/>
  <c r="B18" i="2" s="1"/>
  <c r="G19" i="2"/>
  <c r="B19" i="2" s="1"/>
  <c r="G20" i="2"/>
  <c r="B20" i="2" s="1"/>
  <c r="G29" i="2"/>
  <c r="B29" i="2" s="1"/>
  <c r="G30" i="2"/>
  <c r="B30" i="2" s="1"/>
  <c r="G31" i="2"/>
  <c r="B31" i="2" s="1"/>
  <c r="G32" i="2"/>
  <c r="B32" i="2" s="1"/>
  <c r="G34" i="2"/>
  <c r="B34" i="2" s="1"/>
  <c r="G35" i="2"/>
  <c r="B35" i="2" s="1"/>
  <c r="G36" i="2"/>
  <c r="G40" i="2"/>
  <c r="B40" i="2" s="1"/>
  <c r="G41" i="2"/>
  <c r="B41" i="2" s="1"/>
  <c r="G42" i="2"/>
  <c r="B42" i="2" s="1"/>
  <c r="G43" i="2"/>
  <c r="B43" i="2" s="1"/>
  <c r="G44" i="2"/>
  <c r="B44" i="2" s="1"/>
  <c r="G46" i="2"/>
  <c r="B46" i="2" s="1"/>
  <c r="G47" i="2"/>
  <c r="B47" i="2" s="1"/>
  <c r="G52" i="2"/>
  <c r="B52" i="2" s="1"/>
  <c r="G53" i="2"/>
  <c r="B53" i="2" s="1"/>
  <c r="G54" i="2"/>
  <c r="B54" i="2" s="1"/>
  <c r="G55" i="2"/>
  <c r="B55" i="2" s="1"/>
  <c r="G56" i="2"/>
  <c r="B56" i="2" s="1"/>
  <c r="G64" i="2"/>
  <c r="B64" i="2" s="1"/>
  <c r="G65" i="2"/>
  <c r="B65" i="2" s="1"/>
  <c r="G66" i="2"/>
  <c r="B66" i="2" s="1"/>
  <c r="G67" i="2"/>
  <c r="B67" i="2" s="1"/>
  <c r="G68" i="2"/>
  <c r="B68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2" i="2"/>
  <c r="G12" i="2" l="1"/>
  <c r="B12" i="2" s="1"/>
  <c r="G9" i="2"/>
  <c r="B9" i="2" s="1"/>
  <c r="G26" i="2"/>
  <c r="B26" i="2" s="1"/>
  <c r="G25" i="2"/>
  <c r="B25" i="2" s="1"/>
  <c r="G70" i="2"/>
  <c r="B70" i="2" s="1"/>
  <c r="G69" i="2"/>
  <c r="B69" i="2" s="1"/>
  <c r="G27" i="2"/>
  <c r="B27" i="2" s="1"/>
  <c r="G59" i="2"/>
  <c r="B59" i="2" s="1"/>
  <c r="G58" i="2"/>
  <c r="B58" i="2" s="1"/>
  <c r="G57" i="2"/>
  <c r="B57" i="2" s="1"/>
  <c r="G28" i="2"/>
  <c r="B28" i="2" s="1"/>
</calcChain>
</file>

<file path=xl/sharedStrings.xml><?xml version="1.0" encoding="utf-8"?>
<sst xmlns="http://schemas.openxmlformats.org/spreadsheetml/2006/main" count="15" uniqueCount="13">
  <si>
    <t>等级</t>
    <phoneticPr fontId="1" type="noConversion"/>
  </si>
  <si>
    <t>经验</t>
    <phoneticPr fontId="1" type="noConversion"/>
  </si>
  <si>
    <t>总经验</t>
    <phoneticPr fontId="1" type="noConversion"/>
  </si>
  <si>
    <t>预计每天击败怪物</t>
    <phoneticPr fontId="1" type="noConversion"/>
  </si>
  <si>
    <t>期望升级天数</t>
    <phoneticPr fontId="1" type="noConversion"/>
  </si>
  <si>
    <t>怪物经验</t>
    <phoneticPr fontId="1" type="noConversion"/>
  </si>
  <si>
    <t>累计升级天数</t>
    <phoneticPr fontId="1" type="noConversion"/>
  </si>
  <si>
    <t>对应怪物击杀数</t>
    <phoneticPr fontId="1" type="noConversion"/>
  </si>
  <si>
    <t>任务经验</t>
    <phoneticPr fontId="1" type="noConversion"/>
  </si>
  <si>
    <t>任务数</t>
    <phoneticPr fontId="1" type="noConversion"/>
  </si>
  <si>
    <t>系数</t>
    <phoneticPr fontId="1" type="noConversion"/>
  </si>
  <si>
    <t>单任务经验</t>
    <phoneticPr fontId="1" type="noConversion"/>
  </si>
  <si>
    <t>优化J经验显示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</si>
</sst>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9B96-E34D-4A2F-8C7F-F96C0CB6BF06}">
  <dimension ref="A1:X100"/>
  <sheetViews>
    <sheetView workbookViewId="0">
      <selection activeCell="E19" sqref="E19"/>
    </sheetView>
  </sheetViews>
  <sheetFormatPr defaultRowHeight="14.25" x14ac:dyDescent="0.2"/>
  <cols>
    <col min="1" max="1" width="9" style="4"/>
    <col min="2" max="2" width="9" style="3"/>
    <col min="3" max="3" width="12.125" style="3" bestFit="1" customWidth="1"/>
    <col min="4" max="5" width="11.375" style="3" bestFit="1" customWidth="1"/>
    <col min="6" max="6" width="13.125" style="3" bestFit="1" customWidth="1"/>
    <col min="7" max="7" width="10" style="3" customWidth="1"/>
    <col min="8" max="8" width="11" style="1" customWidth="1"/>
    <col min="23" max="23" width="15" bestFit="1" customWidth="1"/>
  </cols>
  <sheetData>
    <row r="1" spans="1:24" s="5" customFormat="1" ht="20.100000000000001" customHeight="1" x14ac:dyDescent="0.2">
      <c r="A1" s="5" t="s">
        <v>0</v>
      </c>
      <c r="B1" s="5" t="s">
        <v>2</v>
      </c>
      <c r="C1" s="5" t="s">
        <v>12</v>
      </c>
      <c r="D1" s="5" t="s">
        <v>4</v>
      </c>
      <c r="E1" s="5" t="s">
        <v>6</v>
      </c>
      <c r="F1" s="5" t="s">
        <v>7</v>
      </c>
      <c r="G1" s="5" t="s">
        <v>5</v>
      </c>
      <c r="H1" s="5" t="s">
        <v>8</v>
      </c>
    </row>
    <row r="2" spans="1:24" s="3" customFormat="1" ht="20.100000000000001" customHeight="1" x14ac:dyDescent="0.2">
      <c r="A2" s="4">
        <v>1</v>
      </c>
      <c r="B2" s="4">
        <f>G2+H2</f>
        <v>1250</v>
      </c>
      <c r="C2" s="4">
        <f>ROUND(B2,-1)</f>
        <v>1250</v>
      </c>
      <c r="D2" s="4">
        <v>0.01</v>
      </c>
      <c r="E2" s="4">
        <f>SUM($D$2:D2)</f>
        <v>0.01</v>
      </c>
      <c r="F2" s="4">
        <f>D2*$X$2</f>
        <v>20</v>
      </c>
      <c r="G2" s="4">
        <f>F2*怪物经验!B2</f>
        <v>1000</v>
      </c>
      <c r="H2" s="4">
        <f>任务经验!B2*任务经验!D2</f>
        <v>250</v>
      </c>
      <c r="W2" s="3" t="s">
        <v>3</v>
      </c>
      <c r="X2" s="3">
        <v>2000</v>
      </c>
    </row>
    <row r="3" spans="1:24" s="3" customFormat="1" ht="20.100000000000001" customHeight="1" x14ac:dyDescent="0.2">
      <c r="A3" s="4">
        <v>2</v>
      </c>
      <c r="B3" s="4">
        <f t="shared" ref="B3:B66" si="0">G3+H3</f>
        <v>2475</v>
      </c>
      <c r="C3" s="4">
        <f t="shared" ref="C3:C66" si="1">ROUND(B3,-1)</f>
        <v>2480</v>
      </c>
      <c r="D3" s="4">
        <v>0.02</v>
      </c>
      <c r="E3" s="4">
        <f>SUM($D$2:D3)</f>
        <v>0.03</v>
      </c>
      <c r="F3" s="4">
        <f t="shared" ref="F3:F66" si="2">D3*$X$2</f>
        <v>40</v>
      </c>
      <c r="G3" s="4">
        <f>F3*怪物经验!B3</f>
        <v>2200</v>
      </c>
      <c r="H3" s="4">
        <f>任务经验!B3*任务经验!D3</f>
        <v>275</v>
      </c>
    </row>
    <row r="4" spans="1:24" s="3" customFormat="1" ht="20.100000000000001" customHeight="1" x14ac:dyDescent="0.2">
      <c r="A4" s="4">
        <v>3</v>
      </c>
      <c r="B4" s="4">
        <f t="shared" si="0"/>
        <v>3960</v>
      </c>
      <c r="C4" s="4">
        <f t="shared" si="1"/>
        <v>3960</v>
      </c>
      <c r="D4" s="4">
        <v>0.03</v>
      </c>
      <c r="E4" s="4">
        <f>SUM($D$2:D4)</f>
        <v>0.06</v>
      </c>
      <c r="F4" s="4">
        <f t="shared" si="2"/>
        <v>60</v>
      </c>
      <c r="G4" s="4">
        <f>F4*怪物经验!B4</f>
        <v>3600</v>
      </c>
      <c r="H4" s="4">
        <f>任务经验!B4*任务经验!D4</f>
        <v>360</v>
      </c>
    </row>
    <row r="5" spans="1:24" s="3" customFormat="1" ht="20.100000000000001" customHeight="1" x14ac:dyDescent="0.2">
      <c r="A5" s="4">
        <v>4</v>
      </c>
      <c r="B5" s="4">
        <f t="shared" si="0"/>
        <v>5980</v>
      </c>
      <c r="C5" s="4">
        <f t="shared" si="1"/>
        <v>5980</v>
      </c>
      <c r="D5" s="4">
        <v>0.04</v>
      </c>
      <c r="E5" s="4">
        <f>SUM($D$2:D5)</f>
        <v>0.1</v>
      </c>
      <c r="F5" s="4">
        <f t="shared" si="2"/>
        <v>80</v>
      </c>
      <c r="G5" s="4">
        <f>F5*怪物经验!B5</f>
        <v>5200</v>
      </c>
      <c r="H5" s="4">
        <f>任务经验!B5*任务经验!D5</f>
        <v>780</v>
      </c>
    </row>
    <row r="6" spans="1:24" s="3" customFormat="1" ht="20.100000000000001" customHeight="1" x14ac:dyDescent="0.2">
      <c r="A6" s="4">
        <v>5</v>
      </c>
      <c r="B6" s="4">
        <f t="shared" si="0"/>
        <v>7980</v>
      </c>
      <c r="C6" s="4">
        <f t="shared" si="1"/>
        <v>7980</v>
      </c>
      <c r="D6" s="4">
        <v>0.05</v>
      </c>
      <c r="E6" s="4">
        <f>SUM($D$2:D6)</f>
        <v>0.15000000000000002</v>
      </c>
      <c r="F6" s="4">
        <f t="shared" si="2"/>
        <v>100</v>
      </c>
      <c r="G6" s="4">
        <f>F6*怪物经验!B6</f>
        <v>7000</v>
      </c>
      <c r="H6" s="4">
        <f>任务经验!B6*任务经验!D6</f>
        <v>980</v>
      </c>
    </row>
    <row r="7" spans="1:24" s="3" customFormat="1" ht="20.100000000000001" customHeight="1" x14ac:dyDescent="0.2">
      <c r="A7" s="4">
        <v>6</v>
      </c>
      <c r="B7" s="4">
        <f t="shared" si="0"/>
        <v>10050</v>
      </c>
      <c r="C7" s="4">
        <f t="shared" si="1"/>
        <v>10050</v>
      </c>
      <c r="D7" s="4">
        <v>0.06</v>
      </c>
      <c r="E7" s="4">
        <f>SUM($D$2:D7)</f>
        <v>0.21000000000000002</v>
      </c>
      <c r="F7" s="4">
        <f t="shared" si="2"/>
        <v>120</v>
      </c>
      <c r="G7" s="4">
        <f>F7*怪物经验!B7</f>
        <v>9000</v>
      </c>
      <c r="H7" s="4">
        <f>任务经验!B7*任务经验!D7</f>
        <v>1050</v>
      </c>
    </row>
    <row r="8" spans="1:24" s="3" customFormat="1" ht="20.100000000000001" customHeight="1" x14ac:dyDescent="0.2">
      <c r="A8" s="4">
        <v>7</v>
      </c>
      <c r="B8" s="4">
        <f t="shared" si="0"/>
        <v>13120</v>
      </c>
      <c r="C8" s="4">
        <f t="shared" si="1"/>
        <v>13120</v>
      </c>
      <c r="D8" s="4">
        <v>7.0000000000000007E-2</v>
      </c>
      <c r="E8" s="4">
        <f>SUM($D$2:D8)</f>
        <v>0.28000000000000003</v>
      </c>
      <c r="F8" s="4">
        <f t="shared" si="2"/>
        <v>140</v>
      </c>
      <c r="G8" s="4">
        <f>F8*怪物经验!B8</f>
        <v>11200</v>
      </c>
      <c r="H8" s="4">
        <f>任务经验!B8*任务经验!D8</f>
        <v>1920</v>
      </c>
    </row>
    <row r="9" spans="1:24" s="3" customFormat="1" ht="20.100000000000001" customHeight="1" x14ac:dyDescent="0.2">
      <c r="A9" s="4">
        <v>8</v>
      </c>
      <c r="B9" s="4">
        <f t="shared" si="0"/>
        <v>15640</v>
      </c>
      <c r="C9" s="4">
        <f t="shared" si="1"/>
        <v>15640</v>
      </c>
      <c r="D9" s="4">
        <v>0.08</v>
      </c>
      <c r="E9" s="4">
        <f>SUM($D$2:D9)</f>
        <v>0.36000000000000004</v>
      </c>
      <c r="F9" s="4">
        <f t="shared" si="2"/>
        <v>160</v>
      </c>
      <c r="G9" s="4">
        <f>F9*怪物经验!B9</f>
        <v>13600</v>
      </c>
      <c r="H9" s="4">
        <f>任务经验!B9*任务经验!D9</f>
        <v>2040</v>
      </c>
    </row>
    <row r="10" spans="1:24" s="3" customFormat="1" ht="20.100000000000001" customHeight="1" x14ac:dyDescent="0.2">
      <c r="A10" s="4">
        <v>9</v>
      </c>
      <c r="B10" s="4">
        <f t="shared" si="0"/>
        <v>18630</v>
      </c>
      <c r="C10" s="4">
        <f t="shared" si="1"/>
        <v>18630</v>
      </c>
      <c r="D10" s="4">
        <v>0.09</v>
      </c>
      <c r="E10" s="4">
        <f>SUM($D$2:D10)</f>
        <v>0.45000000000000007</v>
      </c>
      <c r="F10" s="4">
        <f t="shared" si="2"/>
        <v>180</v>
      </c>
      <c r="G10" s="4">
        <f>F10*怪物经验!B10</f>
        <v>16200</v>
      </c>
      <c r="H10" s="4">
        <f>任务经验!B10*任务经验!D10</f>
        <v>2430</v>
      </c>
    </row>
    <row r="11" spans="1:24" s="3" customFormat="1" ht="20.100000000000001" customHeight="1" x14ac:dyDescent="0.2">
      <c r="A11" s="4">
        <v>10</v>
      </c>
      <c r="B11" s="4">
        <f t="shared" si="0"/>
        <v>21565</v>
      </c>
      <c r="C11" s="4">
        <f t="shared" si="1"/>
        <v>21570</v>
      </c>
      <c r="D11" s="4">
        <v>0.1</v>
      </c>
      <c r="E11" s="4">
        <f>SUM($D$2:D11)</f>
        <v>0.55000000000000004</v>
      </c>
      <c r="F11" s="4">
        <f t="shared" si="2"/>
        <v>200</v>
      </c>
      <c r="G11" s="4">
        <f>F11*怪物经验!B11</f>
        <v>19000</v>
      </c>
      <c r="H11" s="4">
        <f>任务经验!B11*任务经验!D11</f>
        <v>2565</v>
      </c>
    </row>
    <row r="12" spans="1:24" s="3" customFormat="1" ht="20.100000000000001" customHeight="1" x14ac:dyDescent="0.2">
      <c r="A12" s="4">
        <v>11</v>
      </c>
      <c r="B12" s="4">
        <f t="shared" si="0"/>
        <v>26000</v>
      </c>
      <c r="C12" s="4">
        <f t="shared" si="1"/>
        <v>26000</v>
      </c>
      <c r="D12" s="4">
        <v>0.11</v>
      </c>
      <c r="E12" s="4">
        <f>SUM($D$2:D12)</f>
        <v>0.66</v>
      </c>
      <c r="F12" s="4">
        <f t="shared" si="2"/>
        <v>220</v>
      </c>
      <c r="G12" s="4">
        <f>F12*怪物经验!B12</f>
        <v>22000</v>
      </c>
      <c r="H12" s="4">
        <f>任务经验!B12*任务经验!D12</f>
        <v>4000</v>
      </c>
    </row>
    <row r="13" spans="1:24" s="3" customFormat="1" ht="20.100000000000001" customHeight="1" x14ac:dyDescent="0.2">
      <c r="A13" s="4">
        <v>12</v>
      </c>
      <c r="B13" s="4">
        <f t="shared" si="0"/>
        <v>29400</v>
      </c>
      <c r="C13" s="4">
        <f t="shared" si="1"/>
        <v>29400</v>
      </c>
      <c r="D13" s="4">
        <v>0.12</v>
      </c>
      <c r="E13" s="4">
        <f>SUM($D$2:D13)</f>
        <v>0.78</v>
      </c>
      <c r="F13" s="4">
        <f t="shared" si="2"/>
        <v>240</v>
      </c>
      <c r="G13" s="4">
        <f>F13*怪物经验!B13</f>
        <v>25200</v>
      </c>
      <c r="H13" s="4">
        <f>任务经验!B13*任务经验!D13</f>
        <v>4200</v>
      </c>
    </row>
    <row r="14" spans="1:24" s="3" customFormat="1" ht="20.100000000000001" customHeight="1" x14ac:dyDescent="0.2">
      <c r="A14" s="4">
        <v>13</v>
      </c>
      <c r="B14" s="4">
        <f t="shared" si="0"/>
        <v>33440</v>
      </c>
      <c r="C14" s="4">
        <f t="shared" si="1"/>
        <v>33440</v>
      </c>
      <c r="D14" s="4">
        <v>0.13</v>
      </c>
      <c r="E14" s="4">
        <f>SUM($D$2:D14)</f>
        <v>0.91</v>
      </c>
      <c r="F14" s="4">
        <f t="shared" si="2"/>
        <v>260</v>
      </c>
      <c r="G14" s="4">
        <f>F14*怪物经验!B14</f>
        <v>28600</v>
      </c>
      <c r="H14" s="4">
        <f>任务经验!B14*任务经验!D14</f>
        <v>4840</v>
      </c>
    </row>
    <row r="15" spans="1:24" s="3" customFormat="1" ht="20.100000000000001" customHeight="1" x14ac:dyDescent="0.2">
      <c r="A15" s="4">
        <v>14</v>
      </c>
      <c r="B15" s="4">
        <f t="shared" si="0"/>
        <v>37260</v>
      </c>
      <c r="C15" s="4">
        <f t="shared" si="1"/>
        <v>37260</v>
      </c>
      <c r="D15" s="4">
        <v>0.14000000000000001</v>
      </c>
      <c r="E15" s="4">
        <f>SUM($D$2:D15)</f>
        <v>1.05</v>
      </c>
      <c r="F15" s="4">
        <f t="shared" si="2"/>
        <v>280</v>
      </c>
      <c r="G15" s="4">
        <f>F15*怪物经验!B15</f>
        <v>32200</v>
      </c>
      <c r="H15" s="4">
        <f>任务经验!B15*任务经验!D15</f>
        <v>5060</v>
      </c>
    </row>
    <row r="16" spans="1:24" s="3" customFormat="1" ht="20.100000000000001" customHeight="1" x14ac:dyDescent="0.2">
      <c r="A16" s="4">
        <v>15</v>
      </c>
      <c r="B16" s="4">
        <f t="shared" si="0"/>
        <v>43200</v>
      </c>
      <c r="C16" s="4">
        <f t="shared" si="1"/>
        <v>43200</v>
      </c>
      <c r="D16" s="4">
        <v>0.15</v>
      </c>
      <c r="E16" s="4">
        <f>SUM($D$2:D16)</f>
        <v>1.2</v>
      </c>
      <c r="F16" s="4">
        <f t="shared" si="2"/>
        <v>300</v>
      </c>
      <c r="G16" s="4">
        <f>F16*怪物经验!B16</f>
        <v>36000</v>
      </c>
      <c r="H16" s="4">
        <f>任务经验!B16*任务经验!D16</f>
        <v>7200</v>
      </c>
    </row>
    <row r="17" spans="1:8" s="3" customFormat="1" ht="20.100000000000001" customHeight="1" x14ac:dyDescent="0.2">
      <c r="A17" s="4">
        <v>16</v>
      </c>
      <c r="B17" s="4">
        <f t="shared" si="0"/>
        <v>47500</v>
      </c>
      <c r="C17" s="4">
        <f t="shared" si="1"/>
        <v>47500</v>
      </c>
      <c r="D17" s="4">
        <v>0.16</v>
      </c>
      <c r="E17" s="4">
        <f>SUM($D$2:D17)</f>
        <v>1.3599999999999999</v>
      </c>
      <c r="F17" s="4">
        <f t="shared" si="2"/>
        <v>320</v>
      </c>
      <c r="G17" s="4">
        <f>F17*怪物经验!B17</f>
        <v>40000</v>
      </c>
      <c r="H17" s="4">
        <f>任务经验!B17*任务经验!D17</f>
        <v>7500</v>
      </c>
    </row>
    <row r="18" spans="1:8" s="3" customFormat="1" ht="20.100000000000001" customHeight="1" x14ac:dyDescent="0.2">
      <c r="A18" s="4">
        <v>17</v>
      </c>
      <c r="B18" s="4">
        <f t="shared" si="0"/>
        <v>55250</v>
      </c>
      <c r="C18" s="4">
        <f t="shared" si="1"/>
        <v>55250</v>
      </c>
      <c r="D18" s="4">
        <v>0.18</v>
      </c>
      <c r="E18" s="4">
        <f>SUM($D$2:D18)</f>
        <v>1.5399999999999998</v>
      </c>
      <c r="F18" s="4">
        <f t="shared" si="2"/>
        <v>360</v>
      </c>
      <c r="G18" s="4">
        <f>F18*怪物经验!B18</f>
        <v>46800</v>
      </c>
      <c r="H18" s="4">
        <f>任务经验!B18*任务经验!D18</f>
        <v>8450</v>
      </c>
    </row>
    <row r="19" spans="1:8" s="3" customFormat="1" ht="20.100000000000001" customHeight="1" x14ac:dyDescent="0.2">
      <c r="A19" s="4">
        <v>18</v>
      </c>
      <c r="B19" s="4">
        <f t="shared" si="0"/>
        <v>62775</v>
      </c>
      <c r="C19" s="4">
        <f t="shared" si="1"/>
        <v>62780</v>
      </c>
      <c r="D19" s="4">
        <v>0.2</v>
      </c>
      <c r="E19" s="4">
        <f>SUM($D$2:D19)</f>
        <v>1.7399999999999998</v>
      </c>
      <c r="F19" s="4">
        <f t="shared" si="2"/>
        <v>400</v>
      </c>
      <c r="G19" s="4">
        <f>F19*怪物经验!B19</f>
        <v>54000</v>
      </c>
      <c r="H19" s="4">
        <f>任务经验!B19*任务经验!D19</f>
        <v>8775</v>
      </c>
    </row>
    <row r="20" spans="1:8" s="3" customFormat="1" ht="20.100000000000001" customHeight="1" x14ac:dyDescent="0.2">
      <c r="A20" s="4">
        <v>19</v>
      </c>
      <c r="B20" s="4">
        <f t="shared" si="0"/>
        <v>71400</v>
      </c>
      <c r="C20" s="4">
        <f t="shared" si="1"/>
        <v>71400</v>
      </c>
      <c r="D20" s="4">
        <v>0.22</v>
      </c>
      <c r="E20" s="4">
        <f>SUM($D$2:D20)</f>
        <v>1.9599999999999997</v>
      </c>
      <c r="F20" s="4">
        <f t="shared" si="2"/>
        <v>440</v>
      </c>
      <c r="G20" s="4">
        <f>F20*怪物经验!B20</f>
        <v>61600</v>
      </c>
      <c r="H20" s="4">
        <f>任务经验!B20*任务经验!D20</f>
        <v>9800</v>
      </c>
    </row>
    <row r="21" spans="1:8" s="3" customFormat="1" ht="20.100000000000001" customHeight="1" x14ac:dyDescent="0.2">
      <c r="A21" s="4">
        <v>20</v>
      </c>
      <c r="B21" s="4">
        <f t="shared" si="0"/>
        <v>79750</v>
      </c>
      <c r="C21" s="4">
        <f t="shared" si="1"/>
        <v>79750</v>
      </c>
      <c r="D21" s="4">
        <v>0.24</v>
      </c>
      <c r="E21" s="4">
        <f>SUM($D$2:D21)</f>
        <v>2.1999999999999997</v>
      </c>
      <c r="F21" s="4">
        <f t="shared" si="2"/>
        <v>480</v>
      </c>
      <c r="G21" s="4">
        <f>F21*怪物经验!B21</f>
        <v>69600</v>
      </c>
      <c r="H21" s="4">
        <f>任务经验!B21*任务经验!D21</f>
        <v>10150</v>
      </c>
    </row>
    <row r="22" spans="1:8" s="3" customFormat="1" ht="20.100000000000001" customHeight="1" x14ac:dyDescent="0.2">
      <c r="A22" s="4">
        <v>21</v>
      </c>
      <c r="B22" s="4">
        <f t="shared" si="0"/>
        <v>89250</v>
      </c>
      <c r="C22" s="4">
        <f t="shared" si="1"/>
        <v>89250</v>
      </c>
      <c r="D22" s="4">
        <v>0.26</v>
      </c>
      <c r="E22" s="4">
        <f>SUM($D$2:D22)</f>
        <v>2.46</v>
      </c>
      <c r="F22" s="4">
        <f t="shared" si="2"/>
        <v>520</v>
      </c>
      <c r="G22" s="4">
        <f>F22*怪物经验!B22</f>
        <v>78000</v>
      </c>
      <c r="H22" s="4">
        <f>任务经验!B22*任务经验!D22</f>
        <v>11250</v>
      </c>
    </row>
    <row r="23" spans="1:8" s="3" customFormat="1" ht="20.100000000000001" customHeight="1" x14ac:dyDescent="0.2">
      <c r="A23" s="4">
        <v>22</v>
      </c>
      <c r="B23" s="4">
        <f t="shared" si="0"/>
        <v>101600</v>
      </c>
      <c r="C23" s="4">
        <f t="shared" si="1"/>
        <v>101600</v>
      </c>
      <c r="D23" s="4">
        <v>0.28000000000000003</v>
      </c>
      <c r="E23" s="4">
        <f>SUM($D$2:D23)</f>
        <v>2.74</v>
      </c>
      <c r="F23" s="4">
        <f t="shared" si="2"/>
        <v>560</v>
      </c>
      <c r="G23" s="4">
        <f>F23*怪物经验!B23</f>
        <v>89600</v>
      </c>
      <c r="H23" s="4">
        <f>任务经验!B23*任务经验!D23</f>
        <v>12000</v>
      </c>
    </row>
    <row r="24" spans="1:8" s="3" customFormat="1" ht="20.100000000000001" customHeight="1" x14ac:dyDescent="0.2">
      <c r="A24" s="4">
        <v>23</v>
      </c>
      <c r="B24" s="4">
        <f t="shared" si="0"/>
        <v>114750</v>
      </c>
      <c r="C24" s="4">
        <f t="shared" si="1"/>
        <v>114750</v>
      </c>
      <c r="D24" s="4">
        <v>0.3</v>
      </c>
      <c r="E24" s="4">
        <f>SUM($D$2:D24)</f>
        <v>3.04</v>
      </c>
      <c r="F24" s="4">
        <f t="shared" si="2"/>
        <v>600</v>
      </c>
      <c r="G24" s="4">
        <f>F24*怪物经验!B24</f>
        <v>102000</v>
      </c>
      <c r="H24" s="4">
        <f>任务经验!B24*任务经验!D24</f>
        <v>12750</v>
      </c>
    </row>
    <row r="25" spans="1:8" s="3" customFormat="1" ht="20.100000000000001" customHeight="1" x14ac:dyDescent="0.2">
      <c r="A25" s="4">
        <v>24</v>
      </c>
      <c r="B25" s="4">
        <f t="shared" si="0"/>
        <v>128700</v>
      </c>
      <c r="C25" s="4">
        <f t="shared" si="1"/>
        <v>128700</v>
      </c>
      <c r="D25" s="4">
        <v>0.32</v>
      </c>
      <c r="E25" s="4">
        <f>SUM($D$2:D25)</f>
        <v>3.36</v>
      </c>
      <c r="F25" s="4">
        <f t="shared" si="2"/>
        <v>640</v>
      </c>
      <c r="G25" s="4">
        <f>F25*怪物经验!B25</f>
        <v>115200</v>
      </c>
      <c r="H25" s="4">
        <f>任务经验!B25*任务经验!D25</f>
        <v>13500</v>
      </c>
    </row>
    <row r="26" spans="1:8" s="3" customFormat="1" ht="20.100000000000001" customHeight="1" x14ac:dyDescent="0.2">
      <c r="A26" s="4">
        <v>25</v>
      </c>
      <c r="B26" s="4">
        <f t="shared" si="0"/>
        <v>143450</v>
      </c>
      <c r="C26" s="4">
        <f t="shared" si="1"/>
        <v>143450</v>
      </c>
      <c r="D26" s="4">
        <v>0.34</v>
      </c>
      <c r="E26" s="4">
        <f>SUM($D$2:D26)</f>
        <v>3.6999999999999997</v>
      </c>
      <c r="F26" s="4">
        <f t="shared" si="2"/>
        <v>680</v>
      </c>
      <c r="G26" s="4">
        <f>F26*怪物经验!B26</f>
        <v>129200</v>
      </c>
      <c r="H26" s="4">
        <f>任务经验!B26*任务经验!D26</f>
        <v>14250</v>
      </c>
    </row>
    <row r="27" spans="1:8" s="3" customFormat="1" ht="20.100000000000001" customHeight="1" x14ac:dyDescent="0.2">
      <c r="A27" s="4">
        <v>26</v>
      </c>
      <c r="B27" s="4">
        <f t="shared" si="0"/>
        <v>163000</v>
      </c>
      <c r="C27" s="4">
        <f t="shared" si="1"/>
        <v>163000</v>
      </c>
      <c r="D27" s="4">
        <v>0.37</v>
      </c>
      <c r="E27" s="4">
        <f>SUM($D$2:D27)</f>
        <v>4.0699999999999994</v>
      </c>
      <c r="F27" s="4">
        <f t="shared" si="2"/>
        <v>740</v>
      </c>
      <c r="G27" s="4">
        <f>F27*怪物经验!B27</f>
        <v>148000</v>
      </c>
      <c r="H27" s="4">
        <f>任务经验!B27*任务经验!D27</f>
        <v>15000</v>
      </c>
    </row>
    <row r="28" spans="1:8" s="3" customFormat="1" ht="20.100000000000001" customHeight="1" x14ac:dyDescent="0.2">
      <c r="A28" s="4">
        <v>27</v>
      </c>
      <c r="B28" s="4">
        <f t="shared" si="0"/>
        <v>183750</v>
      </c>
      <c r="C28" s="4">
        <f t="shared" si="1"/>
        <v>183750</v>
      </c>
      <c r="D28" s="4">
        <v>0.4</v>
      </c>
      <c r="E28" s="4">
        <f>SUM($D$2:D28)</f>
        <v>4.47</v>
      </c>
      <c r="F28" s="4">
        <f t="shared" si="2"/>
        <v>800</v>
      </c>
      <c r="G28" s="4">
        <f>F28*怪物经验!B28</f>
        <v>168000</v>
      </c>
      <c r="H28" s="4">
        <f>任务经验!B28*任务经验!D28</f>
        <v>15750</v>
      </c>
    </row>
    <row r="29" spans="1:8" s="3" customFormat="1" ht="20.100000000000001" customHeight="1" x14ac:dyDescent="0.2">
      <c r="A29" s="4">
        <v>28</v>
      </c>
      <c r="B29" s="4">
        <f t="shared" si="0"/>
        <v>205700</v>
      </c>
      <c r="C29" s="4">
        <f t="shared" si="1"/>
        <v>205700</v>
      </c>
      <c r="D29" s="4">
        <v>0.43</v>
      </c>
      <c r="E29" s="4">
        <f>SUM($D$2:D29)</f>
        <v>4.8999999999999995</v>
      </c>
      <c r="F29" s="4">
        <f t="shared" si="2"/>
        <v>860</v>
      </c>
      <c r="G29" s="4">
        <f>F29*怪物经验!B29</f>
        <v>189200</v>
      </c>
      <c r="H29" s="4">
        <f>任务经验!B29*任务经验!D29</f>
        <v>16500</v>
      </c>
    </row>
    <row r="30" spans="1:8" s="3" customFormat="1" ht="20.100000000000001" customHeight="1" x14ac:dyDescent="0.2">
      <c r="A30" s="4">
        <v>29</v>
      </c>
      <c r="B30" s="4">
        <f t="shared" si="0"/>
        <v>228850</v>
      </c>
      <c r="C30" s="4">
        <f t="shared" si="1"/>
        <v>228850</v>
      </c>
      <c r="D30" s="4">
        <v>0.46</v>
      </c>
      <c r="E30" s="4">
        <f>SUM($D$2:D30)</f>
        <v>5.3599999999999994</v>
      </c>
      <c r="F30" s="4">
        <f t="shared" si="2"/>
        <v>920</v>
      </c>
      <c r="G30" s="4">
        <f>F30*怪物经验!B30</f>
        <v>211600</v>
      </c>
      <c r="H30" s="4">
        <f>任务经验!B30*任务经验!D30</f>
        <v>17250</v>
      </c>
    </row>
    <row r="31" spans="1:8" s="3" customFormat="1" ht="20.100000000000001" customHeight="1" x14ac:dyDescent="0.2">
      <c r="A31" s="4">
        <v>30</v>
      </c>
      <c r="B31" s="4">
        <f t="shared" si="0"/>
        <v>253200</v>
      </c>
      <c r="C31" s="4">
        <f t="shared" si="1"/>
        <v>253200</v>
      </c>
      <c r="D31" s="4">
        <v>0.49</v>
      </c>
      <c r="E31" s="4">
        <f>SUM($D$2:D31)</f>
        <v>5.85</v>
      </c>
      <c r="F31" s="4">
        <f t="shared" si="2"/>
        <v>980</v>
      </c>
      <c r="G31" s="4">
        <f>F31*怪物经验!B31</f>
        <v>235200</v>
      </c>
      <c r="H31" s="4">
        <f>任务经验!B31*任务经验!D31</f>
        <v>18000</v>
      </c>
    </row>
    <row r="32" spans="1:8" s="3" customFormat="1" ht="20.100000000000001" customHeight="1" x14ac:dyDescent="0.2">
      <c r="A32" s="4">
        <v>31</v>
      </c>
      <c r="B32" s="4">
        <f t="shared" si="0"/>
        <v>278750</v>
      </c>
      <c r="C32" s="4">
        <f t="shared" si="1"/>
        <v>278750</v>
      </c>
      <c r="D32" s="4">
        <v>0.52</v>
      </c>
      <c r="E32" s="4">
        <f>SUM($D$2:D32)</f>
        <v>6.3699999999999992</v>
      </c>
      <c r="F32" s="4">
        <f t="shared" si="2"/>
        <v>1040</v>
      </c>
      <c r="G32" s="4">
        <f>F32*怪物经验!B32</f>
        <v>260000</v>
      </c>
      <c r="H32" s="4">
        <f>任务经验!B32*任务经验!D32</f>
        <v>18750</v>
      </c>
    </row>
    <row r="33" spans="1:8" s="3" customFormat="1" ht="20.100000000000001" customHeight="1" x14ac:dyDescent="0.2">
      <c r="A33" s="4">
        <v>32</v>
      </c>
      <c r="B33" s="4">
        <f t="shared" si="0"/>
        <v>305500</v>
      </c>
      <c r="C33" s="4">
        <f t="shared" si="1"/>
        <v>305500</v>
      </c>
      <c r="D33" s="4">
        <v>0.55000000000000004</v>
      </c>
      <c r="E33" s="4">
        <f>SUM($D$2:D33)</f>
        <v>6.919999999999999</v>
      </c>
      <c r="F33" s="4">
        <f t="shared" si="2"/>
        <v>1100</v>
      </c>
      <c r="G33" s="4">
        <f>F33*怪物经验!B33</f>
        <v>286000</v>
      </c>
      <c r="H33" s="4">
        <f>任务经验!B33*任务经验!D33</f>
        <v>19500</v>
      </c>
    </row>
    <row r="34" spans="1:8" s="3" customFormat="1" ht="20.100000000000001" customHeight="1" x14ac:dyDescent="0.2">
      <c r="A34" s="4">
        <v>33</v>
      </c>
      <c r="B34" s="4">
        <f t="shared" si="0"/>
        <v>333450</v>
      </c>
      <c r="C34" s="4">
        <f t="shared" si="1"/>
        <v>333450</v>
      </c>
      <c r="D34" s="4">
        <v>0.57999999999999996</v>
      </c>
      <c r="E34" s="4">
        <f>SUM($D$2:D34)</f>
        <v>7.4999999999999991</v>
      </c>
      <c r="F34" s="4">
        <f t="shared" si="2"/>
        <v>1160</v>
      </c>
      <c r="G34" s="4">
        <f>F34*怪物经验!B34</f>
        <v>313200</v>
      </c>
      <c r="H34" s="4">
        <f>任务经验!B34*任务经验!D34</f>
        <v>20250</v>
      </c>
    </row>
    <row r="35" spans="1:8" s="3" customFormat="1" ht="20.100000000000001" customHeight="1" x14ac:dyDescent="0.2">
      <c r="A35" s="4">
        <v>34</v>
      </c>
      <c r="B35" s="4">
        <f t="shared" si="0"/>
        <v>362600</v>
      </c>
      <c r="C35" s="4">
        <f t="shared" si="1"/>
        <v>362600</v>
      </c>
      <c r="D35" s="4">
        <v>0.61</v>
      </c>
      <c r="E35" s="4">
        <f>SUM($D$2:D35)</f>
        <v>8.11</v>
      </c>
      <c r="F35" s="4">
        <f t="shared" si="2"/>
        <v>1220</v>
      </c>
      <c r="G35" s="4">
        <f>F35*怪物经验!B35</f>
        <v>341600</v>
      </c>
      <c r="H35" s="4">
        <f>任务经验!B35*任务经验!D35</f>
        <v>21000</v>
      </c>
    </row>
    <row r="36" spans="1:8" s="3" customFormat="1" ht="20.100000000000001" customHeight="1" x14ac:dyDescent="0.2">
      <c r="A36" s="4">
        <v>35</v>
      </c>
      <c r="B36" s="4">
        <f t="shared" si="0"/>
        <v>392950</v>
      </c>
      <c r="C36" s="4">
        <f t="shared" si="1"/>
        <v>392950</v>
      </c>
      <c r="D36" s="4">
        <v>0.64</v>
      </c>
      <c r="E36" s="4">
        <f>SUM($D$2:D36)</f>
        <v>8.75</v>
      </c>
      <c r="F36" s="4">
        <f t="shared" si="2"/>
        <v>1280</v>
      </c>
      <c r="G36" s="4">
        <f>F36*怪物经验!B36</f>
        <v>371200</v>
      </c>
      <c r="H36" s="4">
        <f>任务经验!B36*任务经验!D36</f>
        <v>21750</v>
      </c>
    </row>
    <row r="37" spans="1:8" s="3" customFormat="1" ht="20.100000000000001" customHeight="1" x14ac:dyDescent="0.2">
      <c r="A37" s="4">
        <v>36</v>
      </c>
      <c r="B37" s="4">
        <f t="shared" si="0"/>
        <v>430500</v>
      </c>
      <c r="C37" s="4">
        <f t="shared" si="1"/>
        <v>430500</v>
      </c>
      <c r="D37" s="4">
        <v>0.68</v>
      </c>
      <c r="E37" s="4">
        <f>SUM($D$2:D37)</f>
        <v>9.43</v>
      </c>
      <c r="F37" s="4">
        <f t="shared" si="2"/>
        <v>1360</v>
      </c>
      <c r="G37" s="4">
        <f>F37*怪物经验!B37</f>
        <v>408000</v>
      </c>
      <c r="H37" s="4">
        <f>任务经验!B37*任务经验!D37</f>
        <v>22500</v>
      </c>
    </row>
    <row r="38" spans="1:8" s="3" customFormat="1" ht="20.100000000000001" customHeight="1" x14ac:dyDescent="0.2">
      <c r="A38" s="4">
        <v>37</v>
      </c>
      <c r="B38" s="4">
        <f t="shared" si="0"/>
        <v>469650</v>
      </c>
      <c r="C38" s="4">
        <f t="shared" si="1"/>
        <v>469650</v>
      </c>
      <c r="D38" s="4">
        <v>0.72</v>
      </c>
      <c r="E38" s="4">
        <f>SUM($D$2:D38)</f>
        <v>10.15</v>
      </c>
      <c r="F38" s="4">
        <f t="shared" si="2"/>
        <v>1440</v>
      </c>
      <c r="G38" s="4">
        <f>F38*怪物经验!B38</f>
        <v>446400</v>
      </c>
      <c r="H38" s="4">
        <f>任务经验!B38*任务经验!D38</f>
        <v>23250</v>
      </c>
    </row>
    <row r="39" spans="1:8" s="3" customFormat="1" ht="20.100000000000001" customHeight="1" x14ac:dyDescent="0.2">
      <c r="A39" s="4">
        <v>38</v>
      </c>
      <c r="B39" s="4">
        <f t="shared" si="0"/>
        <v>510400</v>
      </c>
      <c r="C39" s="4">
        <f t="shared" si="1"/>
        <v>510400</v>
      </c>
      <c r="D39" s="4">
        <v>0.76</v>
      </c>
      <c r="E39" s="4">
        <f>SUM($D$2:D39)</f>
        <v>10.91</v>
      </c>
      <c r="F39" s="4">
        <f t="shared" si="2"/>
        <v>1520</v>
      </c>
      <c r="G39" s="4">
        <f>F39*怪物经验!B39</f>
        <v>486400</v>
      </c>
      <c r="H39" s="4">
        <f>任务经验!B39*任务经验!D39</f>
        <v>24000</v>
      </c>
    </row>
    <row r="40" spans="1:8" s="3" customFormat="1" ht="20.100000000000001" customHeight="1" x14ac:dyDescent="0.2">
      <c r="A40" s="4">
        <v>39</v>
      </c>
      <c r="B40" s="4">
        <f t="shared" si="0"/>
        <v>552750</v>
      </c>
      <c r="C40" s="4">
        <f t="shared" si="1"/>
        <v>552750</v>
      </c>
      <c r="D40" s="4">
        <v>0.8</v>
      </c>
      <c r="E40" s="4">
        <f>SUM($D$2:D40)</f>
        <v>11.71</v>
      </c>
      <c r="F40" s="4">
        <f t="shared" si="2"/>
        <v>1600</v>
      </c>
      <c r="G40" s="4">
        <f>F40*怪物经验!B40</f>
        <v>528000</v>
      </c>
      <c r="H40" s="4">
        <f>任务经验!B40*任务经验!D40</f>
        <v>24750</v>
      </c>
    </row>
    <row r="41" spans="1:8" s="3" customFormat="1" ht="20.100000000000001" customHeight="1" x14ac:dyDescent="0.2">
      <c r="A41" s="4">
        <v>40</v>
      </c>
      <c r="B41" s="4">
        <f t="shared" si="0"/>
        <v>596700</v>
      </c>
      <c r="C41" s="4">
        <f t="shared" si="1"/>
        <v>596700</v>
      </c>
      <c r="D41" s="4">
        <v>0.84</v>
      </c>
      <c r="E41" s="4">
        <f>SUM($D$2:D41)</f>
        <v>12.55</v>
      </c>
      <c r="F41" s="4">
        <f t="shared" si="2"/>
        <v>1680</v>
      </c>
      <c r="G41" s="4">
        <f>F41*怪物经验!B41</f>
        <v>571200</v>
      </c>
      <c r="H41" s="4">
        <f>任务经验!B41*任务经验!D41</f>
        <v>25500</v>
      </c>
    </row>
    <row r="42" spans="1:8" s="3" customFormat="1" ht="20.100000000000001" customHeight="1" x14ac:dyDescent="0.2">
      <c r="A42" s="4">
        <v>41</v>
      </c>
      <c r="B42" s="4">
        <f t="shared" si="0"/>
        <v>642250</v>
      </c>
      <c r="C42" s="4">
        <f t="shared" si="1"/>
        <v>642250</v>
      </c>
      <c r="D42" s="4">
        <v>0.88</v>
      </c>
      <c r="E42" s="4">
        <f>SUM($D$2:D42)</f>
        <v>13.430000000000001</v>
      </c>
      <c r="F42" s="4">
        <f t="shared" si="2"/>
        <v>1760</v>
      </c>
      <c r="G42" s="4">
        <f>F42*怪物经验!B42</f>
        <v>616000</v>
      </c>
      <c r="H42" s="4">
        <f>任务经验!B42*任务经验!D42</f>
        <v>26250</v>
      </c>
    </row>
    <row r="43" spans="1:8" s="3" customFormat="1" ht="20.100000000000001" customHeight="1" x14ac:dyDescent="0.2">
      <c r="A43" s="4">
        <v>42</v>
      </c>
      <c r="B43" s="4">
        <f t="shared" si="0"/>
        <v>689400</v>
      </c>
      <c r="C43" s="4">
        <f t="shared" si="1"/>
        <v>689400</v>
      </c>
      <c r="D43" s="4">
        <v>0.92</v>
      </c>
      <c r="E43" s="4">
        <f>SUM($D$2:D43)</f>
        <v>14.350000000000001</v>
      </c>
      <c r="F43" s="4">
        <f t="shared" si="2"/>
        <v>1840</v>
      </c>
      <c r="G43" s="4">
        <f>F43*怪物经验!B43</f>
        <v>662400</v>
      </c>
      <c r="H43" s="4">
        <f>任务经验!B43*任务经验!D43</f>
        <v>27000</v>
      </c>
    </row>
    <row r="44" spans="1:8" s="3" customFormat="1" ht="20.100000000000001" customHeight="1" x14ac:dyDescent="0.2">
      <c r="A44" s="4">
        <v>43</v>
      </c>
      <c r="B44" s="4">
        <f t="shared" si="0"/>
        <v>738150</v>
      </c>
      <c r="C44" s="4">
        <f t="shared" si="1"/>
        <v>738150</v>
      </c>
      <c r="D44" s="4">
        <v>0.96</v>
      </c>
      <c r="E44" s="4">
        <f>SUM($D$2:D44)</f>
        <v>15.310000000000002</v>
      </c>
      <c r="F44" s="4">
        <f t="shared" si="2"/>
        <v>1920</v>
      </c>
      <c r="G44" s="4">
        <f>F44*怪物经验!B44</f>
        <v>710400</v>
      </c>
      <c r="H44" s="4">
        <f>任务经验!B44*任务经验!D44</f>
        <v>27750</v>
      </c>
    </row>
    <row r="45" spans="1:8" s="3" customFormat="1" ht="20.100000000000001" customHeight="1" x14ac:dyDescent="0.2">
      <c r="A45" s="4">
        <v>44</v>
      </c>
      <c r="B45" s="4">
        <f t="shared" si="0"/>
        <v>788500</v>
      </c>
      <c r="C45" s="4">
        <f t="shared" si="1"/>
        <v>788500</v>
      </c>
      <c r="D45" s="4">
        <v>1</v>
      </c>
      <c r="E45" s="4">
        <f>SUM($D$2:D45)</f>
        <v>16.310000000000002</v>
      </c>
      <c r="F45" s="4">
        <f t="shared" si="2"/>
        <v>2000</v>
      </c>
      <c r="G45" s="4">
        <f>F45*怪物经验!B45</f>
        <v>760000</v>
      </c>
      <c r="H45" s="4">
        <f>任务经验!B45*任务经验!D45</f>
        <v>28500</v>
      </c>
    </row>
    <row r="46" spans="1:8" s="3" customFormat="1" ht="20.100000000000001" customHeight="1" x14ac:dyDescent="0.2">
      <c r="A46" s="4">
        <v>45</v>
      </c>
      <c r="B46" s="4">
        <f t="shared" si="0"/>
        <v>848250</v>
      </c>
      <c r="C46" s="4">
        <f t="shared" si="1"/>
        <v>848250</v>
      </c>
      <c r="D46" s="4">
        <v>1.05</v>
      </c>
      <c r="E46" s="4">
        <f>SUM($D$2:D46)</f>
        <v>17.360000000000003</v>
      </c>
      <c r="F46" s="4">
        <f t="shared" si="2"/>
        <v>2100</v>
      </c>
      <c r="G46" s="4">
        <f>F46*怪物经验!B46</f>
        <v>819000</v>
      </c>
      <c r="H46" s="4">
        <f>任务经验!B46*任务经验!D46</f>
        <v>29250</v>
      </c>
    </row>
    <row r="47" spans="1:8" s="3" customFormat="1" ht="20.100000000000001" customHeight="1" x14ac:dyDescent="0.2">
      <c r="A47" s="4">
        <v>46</v>
      </c>
      <c r="B47" s="4">
        <f t="shared" si="0"/>
        <v>910000</v>
      </c>
      <c r="C47" s="4">
        <f t="shared" si="1"/>
        <v>910000</v>
      </c>
      <c r="D47" s="4">
        <v>1.1000000000000001</v>
      </c>
      <c r="E47" s="4">
        <f>SUM($D$2:D47)</f>
        <v>18.460000000000004</v>
      </c>
      <c r="F47" s="4">
        <f t="shared" si="2"/>
        <v>2200</v>
      </c>
      <c r="G47" s="4">
        <f>F47*怪物经验!B47</f>
        <v>880000</v>
      </c>
      <c r="H47" s="4">
        <f>任务经验!B47*任务经验!D47</f>
        <v>30000</v>
      </c>
    </row>
    <row r="48" spans="1:8" s="3" customFormat="1" ht="20.100000000000001" customHeight="1" x14ac:dyDescent="0.2">
      <c r="A48" s="4">
        <v>47</v>
      </c>
      <c r="B48" s="4">
        <f t="shared" si="0"/>
        <v>985625</v>
      </c>
      <c r="C48" s="4">
        <f t="shared" si="1"/>
        <v>985630</v>
      </c>
      <c r="D48" s="4">
        <v>1.1499999999999999</v>
      </c>
      <c r="E48" s="4">
        <f>SUM($D$2:D48)</f>
        <v>19.610000000000003</v>
      </c>
      <c r="F48" s="4">
        <f t="shared" si="2"/>
        <v>2300</v>
      </c>
      <c r="G48" s="4">
        <f>F48*怪物经验!B48</f>
        <v>954500</v>
      </c>
      <c r="H48" s="4">
        <f>任务经验!B48*任务经验!D48</f>
        <v>31125</v>
      </c>
    </row>
    <row r="49" spans="1:8" s="3" customFormat="1" ht="20.100000000000001" customHeight="1" x14ac:dyDescent="0.2">
      <c r="A49" s="4">
        <v>48</v>
      </c>
      <c r="B49" s="4">
        <f t="shared" si="0"/>
        <v>1064250</v>
      </c>
      <c r="C49" s="4">
        <f t="shared" si="1"/>
        <v>1064250</v>
      </c>
      <c r="D49" s="4">
        <v>1.2</v>
      </c>
      <c r="E49" s="4">
        <f>SUM($D$2:D49)</f>
        <v>20.810000000000002</v>
      </c>
      <c r="F49" s="4">
        <f t="shared" si="2"/>
        <v>2400</v>
      </c>
      <c r="G49" s="4">
        <f>F49*怪物经验!B49</f>
        <v>1032000</v>
      </c>
      <c r="H49" s="4">
        <f>任务经验!B49*任务经验!D49</f>
        <v>32250</v>
      </c>
    </row>
    <row r="50" spans="1:8" s="3" customFormat="1" ht="20.100000000000001" customHeight="1" x14ac:dyDescent="0.2">
      <c r="A50" s="4">
        <v>49</v>
      </c>
      <c r="B50" s="4">
        <f t="shared" si="0"/>
        <v>1145875</v>
      </c>
      <c r="C50" s="4">
        <f t="shared" si="1"/>
        <v>1145880</v>
      </c>
      <c r="D50" s="4">
        <v>1.25</v>
      </c>
      <c r="E50" s="4">
        <f>SUM($D$2:D50)</f>
        <v>22.060000000000002</v>
      </c>
      <c r="F50" s="4">
        <f t="shared" si="2"/>
        <v>2500</v>
      </c>
      <c r="G50" s="4">
        <f>F50*怪物经验!B50</f>
        <v>1112500</v>
      </c>
      <c r="H50" s="4">
        <f>任务经验!B50*任务经验!D50</f>
        <v>33375</v>
      </c>
    </row>
    <row r="51" spans="1:8" s="3" customFormat="1" ht="20.100000000000001" customHeight="1" x14ac:dyDescent="0.2">
      <c r="A51" s="4">
        <v>50</v>
      </c>
      <c r="B51" s="4">
        <f t="shared" si="0"/>
        <v>1230500</v>
      </c>
      <c r="C51" s="4">
        <f t="shared" si="1"/>
        <v>1230500</v>
      </c>
      <c r="D51" s="4">
        <v>1.3</v>
      </c>
      <c r="E51" s="4">
        <f>SUM($D$2:D51)</f>
        <v>23.360000000000003</v>
      </c>
      <c r="F51" s="4">
        <f t="shared" si="2"/>
        <v>2600</v>
      </c>
      <c r="G51" s="4">
        <f>F51*怪物经验!B51</f>
        <v>1196000</v>
      </c>
      <c r="H51" s="4">
        <f>任务经验!B51*任务经验!D51</f>
        <v>34500</v>
      </c>
    </row>
    <row r="52" spans="1:8" s="3" customFormat="1" ht="20.100000000000001" customHeight="1" x14ac:dyDescent="0.2">
      <c r="A52" s="4">
        <v>51</v>
      </c>
      <c r="B52" s="4">
        <f t="shared" si="0"/>
        <v>1318125</v>
      </c>
      <c r="C52" s="4">
        <f t="shared" si="1"/>
        <v>1318130</v>
      </c>
      <c r="D52" s="4">
        <v>1.35</v>
      </c>
      <c r="E52" s="4">
        <f>SUM($D$2:D52)</f>
        <v>24.710000000000004</v>
      </c>
      <c r="F52" s="4">
        <f t="shared" si="2"/>
        <v>2700</v>
      </c>
      <c r="G52" s="4">
        <f>F52*怪物经验!B52</f>
        <v>1282500</v>
      </c>
      <c r="H52" s="4">
        <f>任务经验!B52*任务经验!D52</f>
        <v>35625</v>
      </c>
    </row>
    <row r="53" spans="1:8" s="3" customFormat="1" ht="20.100000000000001" customHeight="1" x14ac:dyDescent="0.2">
      <c r="A53" s="4">
        <v>52</v>
      </c>
      <c r="B53" s="4">
        <f t="shared" si="0"/>
        <v>1408750</v>
      </c>
      <c r="C53" s="4">
        <f t="shared" si="1"/>
        <v>1408750</v>
      </c>
      <c r="D53" s="4">
        <v>1.4</v>
      </c>
      <c r="E53" s="4">
        <f>SUM($D$2:D53)</f>
        <v>26.110000000000003</v>
      </c>
      <c r="F53" s="4">
        <f t="shared" si="2"/>
        <v>2800</v>
      </c>
      <c r="G53" s="4">
        <f>F53*怪物经验!B53</f>
        <v>1372000</v>
      </c>
      <c r="H53" s="4">
        <f>任务经验!B53*任务经验!D53</f>
        <v>36750</v>
      </c>
    </row>
    <row r="54" spans="1:8" s="3" customFormat="1" ht="20.100000000000001" customHeight="1" x14ac:dyDescent="0.2">
      <c r="A54" s="4">
        <v>53</v>
      </c>
      <c r="B54" s="4">
        <f t="shared" si="0"/>
        <v>1502375</v>
      </c>
      <c r="C54" s="4">
        <f t="shared" si="1"/>
        <v>1502380</v>
      </c>
      <c r="D54" s="4">
        <v>1.45</v>
      </c>
      <c r="E54" s="4">
        <f>SUM($D$2:D54)</f>
        <v>27.560000000000002</v>
      </c>
      <c r="F54" s="4">
        <f t="shared" si="2"/>
        <v>2900</v>
      </c>
      <c r="G54" s="4">
        <f>F54*怪物经验!B54</f>
        <v>1464500</v>
      </c>
      <c r="H54" s="4">
        <f>任务经验!B54*任务经验!D54</f>
        <v>37875</v>
      </c>
    </row>
    <row r="55" spans="1:8" s="3" customFormat="1" ht="20.100000000000001" customHeight="1" x14ac:dyDescent="0.2">
      <c r="A55" s="4">
        <v>54</v>
      </c>
      <c r="B55" s="4">
        <f t="shared" si="0"/>
        <v>1599000</v>
      </c>
      <c r="C55" s="4">
        <f t="shared" si="1"/>
        <v>1599000</v>
      </c>
      <c r="D55" s="4">
        <v>1.5</v>
      </c>
      <c r="E55" s="4">
        <f>SUM($D$2:D55)</f>
        <v>29.060000000000002</v>
      </c>
      <c r="F55" s="4">
        <f t="shared" si="2"/>
        <v>3000</v>
      </c>
      <c r="G55" s="4">
        <f>F55*怪物经验!B55</f>
        <v>1560000</v>
      </c>
      <c r="H55" s="4">
        <f>任务经验!B55*任务经验!D55</f>
        <v>39000</v>
      </c>
    </row>
    <row r="56" spans="1:8" s="3" customFormat="1" ht="20.100000000000001" customHeight="1" x14ac:dyDescent="0.2">
      <c r="A56" s="4">
        <v>55</v>
      </c>
      <c r="B56" s="4">
        <f t="shared" si="0"/>
        <v>1709325</v>
      </c>
      <c r="C56" s="4">
        <f t="shared" si="1"/>
        <v>1709330</v>
      </c>
      <c r="D56" s="4">
        <v>1.56</v>
      </c>
      <c r="E56" s="4">
        <f>SUM($D$2:D56)</f>
        <v>30.62</v>
      </c>
      <c r="F56" s="4">
        <f t="shared" si="2"/>
        <v>3120</v>
      </c>
      <c r="G56" s="4">
        <f>F56*怪物经验!B56</f>
        <v>1669200</v>
      </c>
      <c r="H56" s="4">
        <f>任务经验!B56*任务经验!D56</f>
        <v>40125</v>
      </c>
    </row>
    <row r="57" spans="1:8" s="3" customFormat="1" ht="20.100000000000001" customHeight="1" x14ac:dyDescent="0.2">
      <c r="A57" s="4">
        <v>56</v>
      </c>
      <c r="B57" s="4">
        <f t="shared" si="0"/>
        <v>1823250</v>
      </c>
      <c r="C57" s="4">
        <f t="shared" si="1"/>
        <v>1823250</v>
      </c>
      <c r="D57" s="4">
        <v>1.62</v>
      </c>
      <c r="E57" s="4">
        <f>SUM($D$2:D57)</f>
        <v>32.24</v>
      </c>
      <c r="F57" s="4">
        <f t="shared" si="2"/>
        <v>3240</v>
      </c>
      <c r="G57" s="4">
        <f>F57*怪物经验!B57</f>
        <v>1782000</v>
      </c>
      <c r="H57" s="4">
        <f>任务经验!B57*任务经验!D57</f>
        <v>41250</v>
      </c>
    </row>
    <row r="58" spans="1:8" s="3" customFormat="1" ht="20.100000000000001" customHeight="1" x14ac:dyDescent="0.2">
      <c r="A58" s="4">
        <v>57</v>
      </c>
      <c r="B58" s="4">
        <f t="shared" si="0"/>
        <v>1940775</v>
      </c>
      <c r="C58" s="4">
        <f t="shared" si="1"/>
        <v>1940780</v>
      </c>
      <c r="D58" s="4">
        <v>1.68</v>
      </c>
      <c r="E58" s="4">
        <f>SUM($D$2:D58)</f>
        <v>33.92</v>
      </c>
      <c r="F58" s="4">
        <f t="shared" si="2"/>
        <v>3360</v>
      </c>
      <c r="G58" s="4">
        <f>F58*怪物经验!B58</f>
        <v>1898400</v>
      </c>
      <c r="H58" s="4">
        <f>任务经验!B58*任务经验!D58</f>
        <v>42375</v>
      </c>
    </row>
    <row r="59" spans="1:8" s="3" customFormat="1" ht="20.100000000000001" customHeight="1" x14ac:dyDescent="0.2">
      <c r="A59" s="4">
        <v>58</v>
      </c>
      <c r="B59" s="4">
        <f t="shared" si="0"/>
        <v>2061900</v>
      </c>
      <c r="C59" s="4">
        <f t="shared" si="1"/>
        <v>2061900</v>
      </c>
      <c r="D59" s="4">
        <v>1.74</v>
      </c>
      <c r="E59" s="4">
        <f>SUM($D$2:D59)</f>
        <v>35.660000000000004</v>
      </c>
      <c r="F59" s="4">
        <f t="shared" si="2"/>
        <v>3480</v>
      </c>
      <c r="G59" s="4">
        <f>F59*怪物经验!B59</f>
        <v>2018400</v>
      </c>
      <c r="H59" s="4">
        <f>任务经验!B59*任务经验!D59</f>
        <v>43500</v>
      </c>
    </row>
    <row r="60" spans="1:8" s="3" customFormat="1" ht="20.100000000000001" customHeight="1" x14ac:dyDescent="0.2">
      <c r="A60" s="4">
        <v>59</v>
      </c>
      <c r="B60" s="4">
        <f t="shared" si="0"/>
        <v>2186625</v>
      </c>
      <c r="C60" s="4">
        <f t="shared" si="1"/>
        <v>2186630</v>
      </c>
      <c r="D60" s="4">
        <v>1.8</v>
      </c>
      <c r="E60" s="4">
        <f>SUM($D$2:D60)</f>
        <v>37.46</v>
      </c>
      <c r="F60" s="4">
        <f t="shared" si="2"/>
        <v>3600</v>
      </c>
      <c r="G60" s="4">
        <f>F60*怪物经验!B60</f>
        <v>2142000</v>
      </c>
      <c r="H60" s="4">
        <f>任务经验!B60*任务经验!D60</f>
        <v>44625</v>
      </c>
    </row>
    <row r="61" spans="1:8" s="3" customFormat="1" ht="20.100000000000001" customHeight="1" x14ac:dyDescent="0.2">
      <c r="A61" s="4">
        <v>60</v>
      </c>
      <c r="B61" s="4">
        <f t="shared" si="0"/>
        <v>2314950</v>
      </c>
      <c r="C61" s="4">
        <f t="shared" si="1"/>
        <v>2314950</v>
      </c>
      <c r="D61" s="4">
        <v>1.86</v>
      </c>
      <c r="E61" s="4">
        <f>SUM($D$2:D61)</f>
        <v>39.32</v>
      </c>
      <c r="F61" s="4">
        <f t="shared" si="2"/>
        <v>3720</v>
      </c>
      <c r="G61" s="4">
        <f>F61*怪物经验!B61</f>
        <v>2269200</v>
      </c>
      <c r="H61" s="4">
        <f>任务经验!B61*任务经验!D61</f>
        <v>45750</v>
      </c>
    </row>
    <row r="62" spans="1:8" s="3" customFormat="1" ht="20.100000000000001" customHeight="1" x14ac:dyDescent="0.2">
      <c r="A62" s="4">
        <v>61</v>
      </c>
      <c r="B62" s="4">
        <f t="shared" si="0"/>
        <v>2446875</v>
      </c>
      <c r="C62" s="4">
        <f t="shared" si="1"/>
        <v>2446880</v>
      </c>
      <c r="D62" s="4">
        <v>1.92</v>
      </c>
      <c r="E62" s="4">
        <f>SUM($D$2:D62)</f>
        <v>41.24</v>
      </c>
      <c r="F62" s="4">
        <f t="shared" si="2"/>
        <v>3840</v>
      </c>
      <c r="G62" s="4">
        <f>F62*怪物经验!B62</f>
        <v>2400000</v>
      </c>
      <c r="H62" s="4">
        <f>任务经验!B62*任务经验!D62</f>
        <v>46875</v>
      </c>
    </row>
    <row r="63" spans="1:8" s="3" customFormat="1" ht="20.100000000000001" customHeight="1" x14ac:dyDescent="0.2">
      <c r="A63" s="4">
        <v>62</v>
      </c>
      <c r="B63" s="4">
        <f t="shared" si="0"/>
        <v>2582400</v>
      </c>
      <c r="C63" s="4">
        <f t="shared" si="1"/>
        <v>2582400</v>
      </c>
      <c r="D63" s="4">
        <v>1.98</v>
      </c>
      <c r="E63" s="4">
        <f>SUM($D$2:D63)</f>
        <v>43.22</v>
      </c>
      <c r="F63" s="4">
        <f t="shared" si="2"/>
        <v>3960</v>
      </c>
      <c r="G63" s="4">
        <f>F63*怪物经验!B63</f>
        <v>2534400</v>
      </c>
      <c r="H63" s="4">
        <f>任务经验!B63*任务经验!D63</f>
        <v>48000</v>
      </c>
    </row>
    <row r="64" spans="1:8" s="3" customFormat="1" ht="20.100000000000001" customHeight="1" x14ac:dyDescent="0.2">
      <c r="A64" s="4">
        <v>63</v>
      </c>
      <c r="B64" s="4">
        <f t="shared" si="0"/>
        <v>2721525</v>
      </c>
      <c r="C64" s="4">
        <f t="shared" si="1"/>
        <v>2721530</v>
      </c>
      <c r="D64" s="4">
        <v>2.04</v>
      </c>
      <c r="E64" s="4">
        <f>SUM($D$2:D64)</f>
        <v>45.26</v>
      </c>
      <c r="F64" s="4">
        <f t="shared" si="2"/>
        <v>4080</v>
      </c>
      <c r="G64" s="4">
        <f>F64*怪物经验!B64</f>
        <v>2672400</v>
      </c>
      <c r="H64" s="4">
        <f>任务经验!B64*任务经验!D64</f>
        <v>49125</v>
      </c>
    </row>
    <row r="65" spans="1:8" s="3" customFormat="1" ht="20.100000000000001" customHeight="1" x14ac:dyDescent="0.2">
      <c r="A65" s="4">
        <v>64</v>
      </c>
      <c r="B65" s="4">
        <f t="shared" si="0"/>
        <v>2864250</v>
      </c>
      <c r="C65" s="4">
        <f t="shared" si="1"/>
        <v>2864250</v>
      </c>
      <c r="D65" s="4">
        <v>2.1</v>
      </c>
      <c r="E65" s="4">
        <f>SUM($D$2:D65)</f>
        <v>47.36</v>
      </c>
      <c r="F65" s="4">
        <f t="shared" si="2"/>
        <v>4200</v>
      </c>
      <c r="G65" s="4">
        <f>F65*怪物经验!B65</f>
        <v>2814000</v>
      </c>
      <c r="H65" s="4">
        <f>任务经验!B65*任务经验!D65</f>
        <v>50250</v>
      </c>
    </row>
    <row r="66" spans="1:8" s="3" customFormat="1" ht="20.100000000000001" customHeight="1" x14ac:dyDescent="0.2">
      <c r="A66" s="4">
        <v>65</v>
      </c>
      <c r="B66" s="4">
        <f t="shared" si="0"/>
        <v>3024275</v>
      </c>
      <c r="C66" s="4">
        <f t="shared" si="1"/>
        <v>3024280</v>
      </c>
      <c r="D66" s="4">
        <v>2.17</v>
      </c>
      <c r="E66" s="4">
        <f>SUM($D$2:D66)</f>
        <v>49.53</v>
      </c>
      <c r="F66" s="4">
        <f t="shared" si="2"/>
        <v>4340</v>
      </c>
      <c r="G66" s="4">
        <f>F66*怪物经验!B66</f>
        <v>2972900</v>
      </c>
      <c r="H66" s="4">
        <f>任务经验!B66*任务经验!D66</f>
        <v>51375</v>
      </c>
    </row>
    <row r="67" spans="1:8" s="3" customFormat="1" ht="20.100000000000001" customHeight="1" x14ac:dyDescent="0.2">
      <c r="A67" s="4">
        <v>66</v>
      </c>
      <c r="B67" s="4">
        <f t="shared" ref="B67:B71" si="3">G67+H67</f>
        <v>3188500</v>
      </c>
      <c r="C67" s="4">
        <f t="shared" ref="C67:C71" si="4">ROUND(B67,-1)</f>
        <v>3188500</v>
      </c>
      <c r="D67" s="4">
        <v>2.2400000000000002</v>
      </c>
      <c r="E67" s="4">
        <f>SUM($D$2:D67)</f>
        <v>51.77</v>
      </c>
      <c r="F67" s="4">
        <f t="shared" ref="F67:F71" si="5">D67*$X$2</f>
        <v>4480</v>
      </c>
      <c r="G67" s="4">
        <f>F67*怪物经验!B67</f>
        <v>3136000</v>
      </c>
      <c r="H67" s="4">
        <f>任务经验!B67*任务经验!D67</f>
        <v>52500</v>
      </c>
    </row>
    <row r="68" spans="1:8" s="3" customFormat="1" ht="20.100000000000001" customHeight="1" x14ac:dyDescent="0.2">
      <c r="A68" s="4">
        <v>67</v>
      </c>
      <c r="B68" s="4">
        <f t="shared" si="3"/>
        <v>3380400</v>
      </c>
      <c r="C68" s="4">
        <f t="shared" si="4"/>
        <v>3380400</v>
      </c>
      <c r="D68" s="4">
        <v>2.31</v>
      </c>
      <c r="E68" s="4">
        <f>SUM($D$2:D68)</f>
        <v>54.080000000000005</v>
      </c>
      <c r="F68" s="4">
        <f t="shared" si="5"/>
        <v>4620</v>
      </c>
      <c r="G68" s="4">
        <f>F68*怪物经验!B68</f>
        <v>3326400</v>
      </c>
      <c r="H68" s="4">
        <f>任务经验!B68*任务经验!D68</f>
        <v>54000</v>
      </c>
    </row>
    <row r="69" spans="1:8" s="3" customFormat="1" ht="20.100000000000001" customHeight="1" x14ac:dyDescent="0.2">
      <c r="A69" s="4">
        <v>68</v>
      </c>
      <c r="B69" s="4">
        <f t="shared" si="3"/>
        <v>3577900</v>
      </c>
      <c r="C69" s="4">
        <f t="shared" si="4"/>
        <v>3577900</v>
      </c>
      <c r="D69" s="4">
        <v>2.38</v>
      </c>
      <c r="E69" s="4">
        <f>SUM($D$2:D69)</f>
        <v>56.460000000000008</v>
      </c>
      <c r="F69" s="4">
        <f t="shared" si="5"/>
        <v>4760</v>
      </c>
      <c r="G69" s="4">
        <f>F69*怪物经验!B69</f>
        <v>3522400</v>
      </c>
      <c r="H69" s="4">
        <f>任务经验!B69*任务经验!D69</f>
        <v>55500</v>
      </c>
    </row>
    <row r="70" spans="1:8" s="3" customFormat="1" ht="20.100000000000001" customHeight="1" x14ac:dyDescent="0.2">
      <c r="A70" s="4">
        <v>69</v>
      </c>
      <c r="B70" s="4">
        <f t="shared" si="3"/>
        <v>3781000</v>
      </c>
      <c r="C70" s="4">
        <f t="shared" si="4"/>
        <v>3781000</v>
      </c>
      <c r="D70" s="4">
        <v>2.4500000000000002</v>
      </c>
      <c r="E70" s="4">
        <f>SUM($D$2:D70)</f>
        <v>58.910000000000011</v>
      </c>
      <c r="F70" s="4">
        <f t="shared" si="5"/>
        <v>4900</v>
      </c>
      <c r="G70" s="4">
        <f>F70*怪物经验!B70</f>
        <v>3724000</v>
      </c>
      <c r="H70" s="4">
        <f>任务经验!B70*任务经验!D70</f>
        <v>57000</v>
      </c>
    </row>
    <row r="71" spans="1:8" s="3" customFormat="1" ht="20.100000000000001" customHeight="1" x14ac:dyDescent="0.2">
      <c r="A71" s="4">
        <v>70</v>
      </c>
      <c r="B71" s="4">
        <f t="shared" si="3"/>
        <v>3989700</v>
      </c>
      <c r="C71" s="4">
        <f t="shared" si="4"/>
        <v>3989700</v>
      </c>
      <c r="D71" s="4">
        <v>2.52</v>
      </c>
      <c r="E71" s="4">
        <f>SUM($D$2:D71)</f>
        <v>61.430000000000014</v>
      </c>
      <c r="F71" s="4">
        <f t="shared" si="5"/>
        <v>5040</v>
      </c>
      <c r="G71" s="4">
        <f>F71*怪物经验!B71</f>
        <v>3931200</v>
      </c>
      <c r="H71" s="4">
        <f>任务经验!B71*任务经验!D71</f>
        <v>58500</v>
      </c>
    </row>
    <row r="72" spans="1:8" s="3" customFormat="1" ht="20.100000000000001" customHeight="1" x14ac:dyDescent="0.2">
      <c r="A72" s="4"/>
      <c r="H72" s="4"/>
    </row>
    <row r="73" spans="1:8" s="3" customFormat="1" ht="20.100000000000001" customHeight="1" x14ac:dyDescent="0.2">
      <c r="A73" s="4"/>
      <c r="H73" s="4"/>
    </row>
    <row r="74" spans="1:8" s="3" customFormat="1" ht="20.100000000000001" customHeight="1" x14ac:dyDescent="0.2">
      <c r="A74" s="4"/>
      <c r="H74" s="4"/>
    </row>
    <row r="75" spans="1:8" s="3" customFormat="1" ht="20.100000000000001" customHeight="1" x14ac:dyDescent="0.2">
      <c r="A75" s="4"/>
      <c r="H75" s="4"/>
    </row>
    <row r="76" spans="1:8" s="3" customFormat="1" ht="20.100000000000001" customHeight="1" x14ac:dyDescent="0.2">
      <c r="A76" s="4"/>
      <c r="H76" s="4"/>
    </row>
    <row r="77" spans="1:8" s="3" customFormat="1" ht="20.100000000000001" customHeight="1" x14ac:dyDescent="0.2">
      <c r="A77" s="4"/>
      <c r="H77" s="4"/>
    </row>
    <row r="78" spans="1:8" s="3" customFormat="1" ht="20.100000000000001" customHeight="1" x14ac:dyDescent="0.2">
      <c r="A78" s="4"/>
      <c r="H78" s="4"/>
    </row>
    <row r="79" spans="1:8" s="3" customFormat="1" ht="20.100000000000001" customHeight="1" x14ac:dyDescent="0.2">
      <c r="A79" s="4"/>
      <c r="H79" s="4"/>
    </row>
    <row r="80" spans="1:8" s="3" customFormat="1" ht="20.100000000000001" customHeight="1" x14ac:dyDescent="0.2">
      <c r="A80" s="4"/>
      <c r="H80" s="4"/>
    </row>
    <row r="81" spans="1:8" s="3" customFormat="1" ht="20.100000000000001" customHeight="1" x14ac:dyDescent="0.2">
      <c r="A81" s="4"/>
      <c r="H81" s="4"/>
    </row>
    <row r="82" spans="1:8" s="3" customFormat="1" ht="20.100000000000001" customHeight="1" x14ac:dyDescent="0.2">
      <c r="A82" s="4"/>
      <c r="H82" s="4"/>
    </row>
    <row r="83" spans="1:8" s="3" customFormat="1" ht="20.100000000000001" customHeight="1" x14ac:dyDescent="0.2">
      <c r="A83" s="4"/>
      <c r="H83" s="4"/>
    </row>
    <row r="84" spans="1:8" s="3" customFormat="1" ht="20.100000000000001" customHeight="1" x14ac:dyDescent="0.2">
      <c r="A84" s="4"/>
      <c r="H84" s="4"/>
    </row>
    <row r="85" spans="1:8" s="3" customFormat="1" ht="20.100000000000001" customHeight="1" x14ac:dyDescent="0.2">
      <c r="A85" s="4"/>
      <c r="H85" s="4"/>
    </row>
    <row r="86" spans="1:8" s="3" customFormat="1" ht="20.100000000000001" customHeight="1" x14ac:dyDescent="0.2">
      <c r="A86" s="4"/>
      <c r="H86" s="4"/>
    </row>
    <row r="87" spans="1:8" s="3" customFormat="1" ht="20.100000000000001" customHeight="1" x14ac:dyDescent="0.2">
      <c r="A87" s="4"/>
      <c r="H87" s="4"/>
    </row>
    <row r="88" spans="1:8" s="3" customFormat="1" ht="20.100000000000001" customHeight="1" x14ac:dyDescent="0.2">
      <c r="A88" s="4"/>
      <c r="H88" s="4"/>
    </row>
    <row r="89" spans="1:8" s="3" customFormat="1" ht="20.100000000000001" customHeight="1" x14ac:dyDescent="0.2">
      <c r="A89" s="4"/>
      <c r="H89" s="4"/>
    </row>
    <row r="90" spans="1:8" s="3" customFormat="1" ht="20.100000000000001" customHeight="1" x14ac:dyDescent="0.2">
      <c r="A90" s="4"/>
      <c r="H90" s="4"/>
    </row>
    <row r="91" spans="1:8" s="3" customFormat="1" ht="20.100000000000001" customHeight="1" x14ac:dyDescent="0.2">
      <c r="A91" s="4"/>
      <c r="H91" s="4"/>
    </row>
    <row r="92" spans="1:8" s="3" customFormat="1" ht="20.100000000000001" customHeight="1" x14ac:dyDescent="0.2">
      <c r="A92" s="4"/>
      <c r="H92" s="4"/>
    </row>
    <row r="93" spans="1:8" s="3" customFormat="1" ht="20.100000000000001" customHeight="1" x14ac:dyDescent="0.2">
      <c r="A93" s="4"/>
      <c r="H93" s="4"/>
    </row>
    <row r="94" spans="1:8" s="3" customFormat="1" ht="20.100000000000001" customHeight="1" x14ac:dyDescent="0.2">
      <c r="A94" s="4"/>
      <c r="H94" s="4"/>
    </row>
    <row r="95" spans="1:8" s="3" customFormat="1" ht="20.100000000000001" customHeight="1" x14ac:dyDescent="0.2">
      <c r="A95" s="4"/>
      <c r="H95" s="4"/>
    </row>
    <row r="96" spans="1:8" s="3" customFormat="1" ht="20.100000000000001" customHeight="1" x14ac:dyDescent="0.2">
      <c r="A96" s="4"/>
      <c r="H96" s="4"/>
    </row>
    <row r="97" spans="1:8" s="3" customFormat="1" ht="20.100000000000001" customHeight="1" x14ac:dyDescent="0.2">
      <c r="A97" s="4"/>
      <c r="H97" s="4"/>
    </row>
    <row r="98" spans="1:8" s="3" customFormat="1" ht="20.100000000000001" customHeight="1" x14ac:dyDescent="0.2">
      <c r="A98" s="4"/>
      <c r="H98" s="4"/>
    </row>
    <row r="99" spans="1:8" s="3" customFormat="1" ht="20.100000000000001" customHeight="1" x14ac:dyDescent="0.2">
      <c r="A99" s="4"/>
      <c r="H99" s="4"/>
    </row>
    <row r="100" spans="1:8" s="3" customFormat="1" ht="20.100000000000001" customHeight="1" x14ac:dyDescent="0.2">
      <c r="A100" s="4"/>
      <c r="H100" s="4"/>
    </row>
  </sheetData>
  <phoneticPr fontId="1" type="noConversion"/>
  <pageMargins left="0.7" right="0.7" top="0.75" bottom="0.75" header="0.3" footer="0.3"/>
  <ignoredErrors>
    <ignoredError sqref="E2:E7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>
      <selection sqref="A1:B1"/>
    </sheetView>
  </sheetViews>
  <sheetFormatPr defaultRowHeight="14.25" x14ac:dyDescent="0.2"/>
  <cols>
    <col min="1" max="1" width="9" style="2"/>
    <col min="2" max="2" width="9" style="4"/>
  </cols>
  <sheetData>
    <row r="1" spans="1:2" ht="20.100000000000001" customHeight="1" x14ac:dyDescent="0.2">
      <c r="A1" s="5" t="s">
        <v>0</v>
      </c>
      <c r="B1" s="5" t="s">
        <v>1</v>
      </c>
    </row>
    <row r="2" spans="1:2" ht="20.100000000000001" customHeight="1" x14ac:dyDescent="0.2">
      <c r="A2" s="2">
        <v>1</v>
      </c>
      <c r="B2" s="4">
        <v>50</v>
      </c>
    </row>
    <row r="3" spans="1:2" ht="20.100000000000001" customHeight="1" x14ac:dyDescent="0.2">
      <c r="A3" s="2">
        <v>2</v>
      </c>
      <c r="B3" s="4">
        <v>55</v>
      </c>
    </row>
    <row r="4" spans="1:2" ht="20.100000000000001" customHeight="1" x14ac:dyDescent="0.2">
      <c r="A4" s="2">
        <v>3</v>
      </c>
      <c r="B4" s="4">
        <v>60</v>
      </c>
    </row>
    <row r="5" spans="1:2" ht="20.100000000000001" customHeight="1" x14ac:dyDescent="0.2">
      <c r="A5" s="2">
        <v>4</v>
      </c>
      <c r="B5" s="4">
        <v>65</v>
      </c>
    </row>
    <row r="6" spans="1:2" ht="20.100000000000001" customHeight="1" x14ac:dyDescent="0.2">
      <c r="A6" s="2">
        <v>5</v>
      </c>
      <c r="B6" s="4">
        <v>70</v>
      </c>
    </row>
    <row r="7" spans="1:2" ht="20.100000000000001" customHeight="1" x14ac:dyDescent="0.2">
      <c r="A7" s="2">
        <v>6</v>
      </c>
      <c r="B7" s="4">
        <v>75</v>
      </c>
    </row>
    <row r="8" spans="1:2" ht="20.100000000000001" customHeight="1" x14ac:dyDescent="0.2">
      <c r="A8" s="2">
        <v>7</v>
      </c>
      <c r="B8" s="4">
        <v>80</v>
      </c>
    </row>
    <row r="9" spans="1:2" ht="20.100000000000001" customHeight="1" x14ac:dyDescent="0.2">
      <c r="A9" s="2">
        <v>8</v>
      </c>
      <c r="B9" s="4">
        <v>85</v>
      </c>
    </row>
    <row r="10" spans="1:2" ht="20.100000000000001" customHeight="1" x14ac:dyDescent="0.2">
      <c r="A10" s="2">
        <v>9</v>
      </c>
      <c r="B10" s="4">
        <v>90</v>
      </c>
    </row>
    <row r="11" spans="1:2" ht="20.100000000000001" customHeight="1" x14ac:dyDescent="0.2">
      <c r="A11" s="2">
        <v>10</v>
      </c>
      <c r="B11" s="4">
        <v>95</v>
      </c>
    </row>
    <row r="12" spans="1:2" ht="20.100000000000001" customHeight="1" x14ac:dyDescent="0.2">
      <c r="A12" s="2">
        <v>11</v>
      </c>
      <c r="B12" s="4">
        <v>100</v>
      </c>
    </row>
    <row r="13" spans="1:2" ht="20.100000000000001" customHeight="1" x14ac:dyDescent="0.2">
      <c r="A13" s="2">
        <v>12</v>
      </c>
      <c r="B13" s="4">
        <v>105</v>
      </c>
    </row>
    <row r="14" spans="1:2" ht="20.100000000000001" customHeight="1" x14ac:dyDescent="0.2">
      <c r="A14" s="2">
        <v>13</v>
      </c>
      <c r="B14" s="4">
        <v>110</v>
      </c>
    </row>
    <row r="15" spans="1:2" ht="20.100000000000001" customHeight="1" x14ac:dyDescent="0.2">
      <c r="A15" s="2">
        <v>14</v>
      </c>
      <c r="B15" s="4">
        <v>115</v>
      </c>
    </row>
    <row r="16" spans="1:2" ht="20.100000000000001" customHeight="1" x14ac:dyDescent="0.2">
      <c r="A16" s="2">
        <v>15</v>
      </c>
      <c r="B16" s="4">
        <v>120</v>
      </c>
    </row>
    <row r="17" spans="1:2" ht="20.100000000000001" customHeight="1" x14ac:dyDescent="0.2">
      <c r="A17" s="2">
        <v>16</v>
      </c>
      <c r="B17" s="4">
        <v>125</v>
      </c>
    </row>
    <row r="18" spans="1:2" ht="20.100000000000001" customHeight="1" x14ac:dyDescent="0.2">
      <c r="A18" s="2">
        <v>17</v>
      </c>
      <c r="B18" s="4">
        <v>130</v>
      </c>
    </row>
    <row r="19" spans="1:2" ht="20.100000000000001" customHeight="1" x14ac:dyDescent="0.2">
      <c r="A19" s="2">
        <v>18</v>
      </c>
      <c r="B19" s="4">
        <v>135</v>
      </c>
    </row>
    <row r="20" spans="1:2" ht="20.100000000000001" customHeight="1" x14ac:dyDescent="0.2">
      <c r="A20" s="2">
        <v>19</v>
      </c>
      <c r="B20" s="4">
        <v>140</v>
      </c>
    </row>
    <row r="21" spans="1:2" ht="20.100000000000001" customHeight="1" x14ac:dyDescent="0.2">
      <c r="A21" s="2">
        <v>20</v>
      </c>
      <c r="B21" s="4">
        <v>145</v>
      </c>
    </row>
    <row r="22" spans="1:2" ht="20.100000000000001" customHeight="1" x14ac:dyDescent="0.2">
      <c r="A22" s="2">
        <v>21</v>
      </c>
      <c r="B22" s="4">
        <v>150</v>
      </c>
    </row>
    <row r="23" spans="1:2" ht="20.100000000000001" customHeight="1" x14ac:dyDescent="0.2">
      <c r="A23" s="2">
        <v>22</v>
      </c>
      <c r="B23" s="4">
        <v>160</v>
      </c>
    </row>
    <row r="24" spans="1:2" ht="20.100000000000001" customHeight="1" x14ac:dyDescent="0.2">
      <c r="A24" s="2">
        <v>23</v>
      </c>
      <c r="B24" s="4">
        <v>170</v>
      </c>
    </row>
    <row r="25" spans="1:2" ht="20.100000000000001" customHeight="1" x14ac:dyDescent="0.2">
      <c r="A25" s="2">
        <v>24</v>
      </c>
      <c r="B25" s="4">
        <v>180</v>
      </c>
    </row>
    <row r="26" spans="1:2" ht="20.100000000000001" customHeight="1" x14ac:dyDescent="0.2">
      <c r="A26" s="2">
        <v>25</v>
      </c>
      <c r="B26" s="4">
        <v>190</v>
      </c>
    </row>
    <row r="27" spans="1:2" ht="20.100000000000001" customHeight="1" x14ac:dyDescent="0.2">
      <c r="A27" s="2">
        <v>26</v>
      </c>
      <c r="B27" s="4">
        <v>200</v>
      </c>
    </row>
    <row r="28" spans="1:2" ht="20.100000000000001" customHeight="1" x14ac:dyDescent="0.2">
      <c r="A28" s="2">
        <v>27</v>
      </c>
      <c r="B28" s="4">
        <v>210</v>
      </c>
    </row>
    <row r="29" spans="1:2" ht="20.100000000000001" customHeight="1" x14ac:dyDescent="0.2">
      <c r="A29" s="2">
        <v>28</v>
      </c>
      <c r="B29" s="4">
        <v>220</v>
      </c>
    </row>
    <row r="30" spans="1:2" ht="20.100000000000001" customHeight="1" x14ac:dyDescent="0.2">
      <c r="A30" s="2">
        <v>29</v>
      </c>
      <c r="B30" s="4">
        <v>230</v>
      </c>
    </row>
    <row r="31" spans="1:2" ht="20.100000000000001" customHeight="1" x14ac:dyDescent="0.2">
      <c r="A31" s="2">
        <v>30</v>
      </c>
      <c r="B31" s="4">
        <v>240</v>
      </c>
    </row>
    <row r="32" spans="1:2" ht="20.100000000000001" customHeight="1" x14ac:dyDescent="0.2">
      <c r="A32" s="2">
        <v>31</v>
      </c>
      <c r="B32" s="4">
        <v>250</v>
      </c>
    </row>
    <row r="33" spans="1:2" ht="20.100000000000001" customHeight="1" x14ac:dyDescent="0.2">
      <c r="A33" s="2">
        <v>32</v>
      </c>
      <c r="B33" s="4">
        <v>260</v>
      </c>
    </row>
    <row r="34" spans="1:2" ht="20.100000000000001" customHeight="1" x14ac:dyDescent="0.2">
      <c r="A34" s="2">
        <v>33</v>
      </c>
      <c r="B34" s="4">
        <v>270</v>
      </c>
    </row>
    <row r="35" spans="1:2" ht="20.100000000000001" customHeight="1" x14ac:dyDescent="0.2">
      <c r="A35" s="2">
        <v>34</v>
      </c>
      <c r="B35" s="4">
        <v>280</v>
      </c>
    </row>
    <row r="36" spans="1:2" ht="20.100000000000001" customHeight="1" x14ac:dyDescent="0.2">
      <c r="A36" s="2">
        <v>35</v>
      </c>
      <c r="B36" s="4">
        <v>290</v>
      </c>
    </row>
    <row r="37" spans="1:2" ht="20.100000000000001" customHeight="1" x14ac:dyDescent="0.2">
      <c r="A37" s="2">
        <v>36</v>
      </c>
      <c r="B37" s="4">
        <v>300</v>
      </c>
    </row>
    <row r="38" spans="1:2" ht="20.100000000000001" customHeight="1" x14ac:dyDescent="0.2">
      <c r="A38" s="2">
        <v>37</v>
      </c>
      <c r="B38" s="4">
        <v>310</v>
      </c>
    </row>
    <row r="39" spans="1:2" ht="20.100000000000001" customHeight="1" x14ac:dyDescent="0.2">
      <c r="A39" s="2">
        <v>38</v>
      </c>
      <c r="B39" s="4">
        <v>320</v>
      </c>
    </row>
    <row r="40" spans="1:2" ht="20.100000000000001" customHeight="1" x14ac:dyDescent="0.2">
      <c r="A40" s="2">
        <v>39</v>
      </c>
      <c r="B40" s="4">
        <v>330</v>
      </c>
    </row>
    <row r="41" spans="1:2" ht="20.100000000000001" customHeight="1" x14ac:dyDescent="0.2">
      <c r="A41" s="2">
        <v>40</v>
      </c>
      <c r="B41" s="4">
        <v>340</v>
      </c>
    </row>
    <row r="42" spans="1:2" ht="20.100000000000001" customHeight="1" x14ac:dyDescent="0.2">
      <c r="A42" s="2">
        <v>41</v>
      </c>
      <c r="B42" s="4">
        <v>350</v>
      </c>
    </row>
    <row r="43" spans="1:2" ht="20.100000000000001" customHeight="1" x14ac:dyDescent="0.2">
      <c r="A43" s="2">
        <v>42</v>
      </c>
      <c r="B43" s="4">
        <v>360</v>
      </c>
    </row>
    <row r="44" spans="1:2" ht="20.100000000000001" customHeight="1" x14ac:dyDescent="0.2">
      <c r="A44" s="2">
        <v>43</v>
      </c>
      <c r="B44" s="4">
        <v>370</v>
      </c>
    </row>
    <row r="45" spans="1:2" ht="20.100000000000001" customHeight="1" x14ac:dyDescent="0.2">
      <c r="A45" s="2">
        <v>44</v>
      </c>
      <c r="B45" s="4">
        <v>380</v>
      </c>
    </row>
    <row r="46" spans="1:2" ht="20.100000000000001" customHeight="1" x14ac:dyDescent="0.2">
      <c r="A46" s="2">
        <v>45</v>
      </c>
      <c r="B46" s="4">
        <v>390</v>
      </c>
    </row>
    <row r="47" spans="1:2" ht="20.100000000000001" customHeight="1" x14ac:dyDescent="0.2">
      <c r="A47" s="2">
        <v>46</v>
      </c>
      <c r="B47" s="4">
        <v>400</v>
      </c>
    </row>
    <row r="48" spans="1:2" ht="20.100000000000001" customHeight="1" x14ac:dyDescent="0.2">
      <c r="A48" s="2">
        <v>47</v>
      </c>
      <c r="B48" s="4">
        <v>415</v>
      </c>
    </row>
    <row r="49" spans="1:2" ht="20.100000000000001" customHeight="1" x14ac:dyDescent="0.2">
      <c r="A49" s="2">
        <v>48</v>
      </c>
      <c r="B49" s="4">
        <v>430</v>
      </c>
    </row>
    <row r="50" spans="1:2" ht="20.100000000000001" customHeight="1" x14ac:dyDescent="0.2">
      <c r="A50" s="2">
        <v>49</v>
      </c>
      <c r="B50" s="4">
        <v>445</v>
      </c>
    </row>
    <row r="51" spans="1:2" ht="20.100000000000001" customHeight="1" x14ac:dyDescent="0.2">
      <c r="A51" s="2">
        <v>50</v>
      </c>
      <c r="B51" s="4">
        <v>460</v>
      </c>
    </row>
    <row r="52" spans="1:2" ht="20.100000000000001" customHeight="1" x14ac:dyDescent="0.2">
      <c r="A52" s="2">
        <v>51</v>
      </c>
      <c r="B52" s="4">
        <v>475</v>
      </c>
    </row>
    <row r="53" spans="1:2" ht="20.100000000000001" customHeight="1" x14ac:dyDescent="0.2">
      <c r="A53" s="2">
        <v>52</v>
      </c>
      <c r="B53" s="4">
        <v>490</v>
      </c>
    </row>
    <row r="54" spans="1:2" ht="20.100000000000001" customHeight="1" x14ac:dyDescent="0.2">
      <c r="A54" s="2">
        <v>53</v>
      </c>
      <c r="B54" s="4">
        <v>505</v>
      </c>
    </row>
    <row r="55" spans="1:2" ht="20.100000000000001" customHeight="1" x14ac:dyDescent="0.2">
      <c r="A55" s="2">
        <v>54</v>
      </c>
      <c r="B55" s="4">
        <v>520</v>
      </c>
    </row>
    <row r="56" spans="1:2" ht="20.100000000000001" customHeight="1" x14ac:dyDescent="0.2">
      <c r="A56" s="2">
        <v>55</v>
      </c>
      <c r="B56" s="4">
        <v>535</v>
      </c>
    </row>
    <row r="57" spans="1:2" ht="20.100000000000001" customHeight="1" x14ac:dyDescent="0.2">
      <c r="A57" s="2">
        <v>56</v>
      </c>
      <c r="B57" s="4">
        <v>550</v>
      </c>
    </row>
    <row r="58" spans="1:2" ht="20.100000000000001" customHeight="1" x14ac:dyDescent="0.2">
      <c r="A58" s="2">
        <v>57</v>
      </c>
      <c r="B58" s="4">
        <v>565</v>
      </c>
    </row>
    <row r="59" spans="1:2" ht="20.100000000000001" customHeight="1" x14ac:dyDescent="0.2">
      <c r="A59" s="2">
        <v>58</v>
      </c>
      <c r="B59" s="4">
        <v>580</v>
      </c>
    </row>
    <row r="60" spans="1:2" ht="20.100000000000001" customHeight="1" x14ac:dyDescent="0.2">
      <c r="A60" s="2">
        <v>59</v>
      </c>
      <c r="B60" s="4">
        <v>595</v>
      </c>
    </row>
    <row r="61" spans="1:2" ht="20.100000000000001" customHeight="1" x14ac:dyDescent="0.2">
      <c r="A61" s="2">
        <v>60</v>
      </c>
      <c r="B61" s="4">
        <v>610</v>
      </c>
    </row>
    <row r="62" spans="1:2" ht="20.100000000000001" customHeight="1" x14ac:dyDescent="0.2">
      <c r="A62" s="2">
        <v>61</v>
      </c>
      <c r="B62" s="4">
        <v>625</v>
      </c>
    </row>
    <row r="63" spans="1:2" ht="20.100000000000001" customHeight="1" x14ac:dyDescent="0.2">
      <c r="A63" s="2">
        <v>62</v>
      </c>
      <c r="B63" s="4">
        <v>640</v>
      </c>
    </row>
    <row r="64" spans="1:2" ht="20.100000000000001" customHeight="1" x14ac:dyDescent="0.2">
      <c r="A64" s="2">
        <v>63</v>
      </c>
      <c r="B64" s="4">
        <v>655</v>
      </c>
    </row>
    <row r="65" spans="1:2" ht="20.100000000000001" customHeight="1" x14ac:dyDescent="0.2">
      <c r="A65" s="2">
        <v>64</v>
      </c>
      <c r="B65" s="4">
        <v>670</v>
      </c>
    </row>
    <row r="66" spans="1:2" ht="20.100000000000001" customHeight="1" x14ac:dyDescent="0.2">
      <c r="A66" s="2">
        <v>65</v>
      </c>
      <c r="B66" s="4">
        <v>685</v>
      </c>
    </row>
    <row r="67" spans="1:2" ht="20.100000000000001" customHeight="1" x14ac:dyDescent="0.2">
      <c r="A67" s="2">
        <v>66</v>
      </c>
      <c r="B67" s="4">
        <v>700</v>
      </c>
    </row>
    <row r="68" spans="1:2" ht="20.100000000000001" customHeight="1" x14ac:dyDescent="0.2">
      <c r="A68" s="2">
        <v>67</v>
      </c>
      <c r="B68" s="4">
        <v>720</v>
      </c>
    </row>
    <row r="69" spans="1:2" ht="20.100000000000001" customHeight="1" x14ac:dyDescent="0.2">
      <c r="A69" s="2">
        <v>68</v>
      </c>
      <c r="B69" s="4">
        <v>740</v>
      </c>
    </row>
    <row r="70" spans="1:2" ht="20.100000000000001" customHeight="1" x14ac:dyDescent="0.2">
      <c r="A70" s="2">
        <v>69</v>
      </c>
      <c r="B70" s="4">
        <v>760</v>
      </c>
    </row>
    <row r="71" spans="1:2" ht="20.100000000000001" customHeight="1" x14ac:dyDescent="0.2">
      <c r="A71" s="2">
        <v>70</v>
      </c>
      <c r="B71" s="4">
        <v>780</v>
      </c>
    </row>
    <row r="72" spans="1:2" ht="20.100000000000001" customHeight="1" x14ac:dyDescent="0.2"/>
    <row r="73" spans="1:2" ht="20.100000000000001" customHeight="1" x14ac:dyDescent="0.2"/>
    <row r="74" spans="1:2" ht="20.100000000000001" customHeight="1" x14ac:dyDescent="0.2"/>
    <row r="75" spans="1:2" ht="20.100000000000001" customHeight="1" x14ac:dyDescent="0.2"/>
    <row r="76" spans="1:2" ht="20.100000000000001" customHeight="1" x14ac:dyDescent="0.2"/>
    <row r="77" spans="1:2" ht="20.100000000000001" customHeight="1" x14ac:dyDescent="0.2"/>
    <row r="78" spans="1:2" ht="20.100000000000001" customHeight="1" x14ac:dyDescent="0.2"/>
    <row r="79" spans="1:2" ht="20.100000000000001" customHeight="1" x14ac:dyDescent="0.2"/>
    <row r="80" spans="1:2" ht="20.100000000000001" customHeight="1" x14ac:dyDescent="0.2"/>
    <row r="81" ht="20.100000000000001" customHeight="1" x14ac:dyDescent="0.2"/>
    <row r="82" ht="20.100000000000001" customHeight="1" x14ac:dyDescent="0.2"/>
    <row r="83" ht="20.100000000000001" customHeight="1" x14ac:dyDescent="0.2"/>
    <row r="84" ht="20.100000000000001" customHeight="1" x14ac:dyDescent="0.2"/>
    <row r="85" ht="20.100000000000001" customHeight="1" x14ac:dyDescent="0.2"/>
    <row r="86" ht="20.100000000000001" customHeight="1" x14ac:dyDescent="0.2"/>
    <row r="87" ht="20.100000000000001" customHeight="1" x14ac:dyDescent="0.2"/>
    <row r="88" ht="20.100000000000001" customHeight="1" x14ac:dyDescent="0.2"/>
    <row r="89" ht="20.100000000000001" customHeight="1" x14ac:dyDescent="0.2"/>
    <row r="90" ht="20.100000000000001" customHeight="1" x14ac:dyDescent="0.2"/>
    <row r="91" ht="20.100000000000001" customHeight="1" x14ac:dyDescent="0.2"/>
    <row r="92" ht="20.100000000000001" customHeight="1" x14ac:dyDescent="0.2"/>
    <row r="93" ht="20.100000000000001" customHeight="1" x14ac:dyDescent="0.2"/>
    <row r="94" ht="20.100000000000001" customHeight="1" x14ac:dyDescent="0.2"/>
    <row r="95" ht="20.100000000000001" customHeight="1" x14ac:dyDescent="0.2"/>
    <row r="96" ht="20.100000000000001" customHeight="1" x14ac:dyDescent="0.2"/>
    <row r="97" ht="20.100000000000001" customHeight="1" x14ac:dyDescent="0.2"/>
    <row r="98" ht="20.100000000000001" customHeight="1" x14ac:dyDescent="0.2"/>
    <row r="99" ht="20.100000000000001" customHeight="1" x14ac:dyDescent="0.2"/>
    <row r="100" ht="20.100000000000001" customHeight="1" x14ac:dyDescent="0.2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66D1-ACF8-456F-B96C-E0CE6D0B9E8B}">
  <dimension ref="A1:D100"/>
  <sheetViews>
    <sheetView tabSelected="1" workbookViewId="0">
      <selection activeCell="D7" sqref="D7"/>
    </sheetView>
  </sheetViews>
  <sheetFormatPr defaultRowHeight="14.25" x14ac:dyDescent="0.2"/>
  <cols>
    <col min="1" max="3" width="9" style="1"/>
    <col min="4" max="4" width="10.875" style="1" customWidth="1"/>
  </cols>
  <sheetData>
    <row r="1" spans="1:4" s="3" customFormat="1" ht="20.100000000000001" customHeight="1" x14ac:dyDescent="0.2">
      <c r="A1" s="5" t="s">
        <v>0</v>
      </c>
      <c r="B1" s="5" t="s">
        <v>9</v>
      </c>
      <c r="C1" s="5" t="s">
        <v>10</v>
      </c>
      <c r="D1" s="5" t="s">
        <v>11</v>
      </c>
    </row>
    <row r="2" spans="1:4" s="3" customFormat="1" ht="20.100000000000001" customHeight="1" x14ac:dyDescent="0.2">
      <c r="A2" s="2">
        <v>1</v>
      </c>
      <c r="B2" s="4">
        <v>1</v>
      </c>
      <c r="C2" s="4">
        <v>5</v>
      </c>
      <c r="D2" s="4">
        <f>C2*怪物经验!B2</f>
        <v>250</v>
      </c>
    </row>
    <row r="3" spans="1:4" s="3" customFormat="1" ht="20.100000000000001" customHeight="1" x14ac:dyDescent="0.2">
      <c r="A3" s="2">
        <v>2</v>
      </c>
      <c r="B3" s="4">
        <v>1</v>
      </c>
      <c r="C3" s="4">
        <v>5</v>
      </c>
      <c r="D3" s="4">
        <f>C3*怪物经验!B3</f>
        <v>275</v>
      </c>
    </row>
    <row r="4" spans="1:4" s="3" customFormat="1" ht="20.100000000000001" customHeight="1" x14ac:dyDescent="0.2">
      <c r="A4" s="2">
        <v>3</v>
      </c>
      <c r="B4" s="4">
        <v>1</v>
      </c>
      <c r="C4" s="4">
        <v>6</v>
      </c>
      <c r="D4" s="4">
        <f>C4*怪物经验!B4</f>
        <v>360</v>
      </c>
    </row>
    <row r="5" spans="1:4" s="3" customFormat="1" ht="20.100000000000001" customHeight="1" x14ac:dyDescent="0.2">
      <c r="A5" s="2">
        <v>4</v>
      </c>
      <c r="B5" s="4">
        <v>2</v>
      </c>
      <c r="C5" s="4">
        <v>6</v>
      </c>
      <c r="D5" s="4">
        <f>C5*怪物经验!B5</f>
        <v>390</v>
      </c>
    </row>
    <row r="6" spans="1:4" s="3" customFormat="1" ht="20.100000000000001" customHeight="1" x14ac:dyDescent="0.2">
      <c r="A6" s="2">
        <v>5</v>
      </c>
      <c r="B6" s="4">
        <v>2</v>
      </c>
      <c r="C6" s="4">
        <v>7</v>
      </c>
      <c r="D6" s="4">
        <f>C6*怪物经验!B6</f>
        <v>490</v>
      </c>
    </row>
    <row r="7" spans="1:4" s="3" customFormat="1" ht="20.100000000000001" customHeight="1" x14ac:dyDescent="0.2">
      <c r="A7" s="2">
        <v>6</v>
      </c>
      <c r="B7" s="4">
        <v>2</v>
      </c>
      <c r="C7" s="4">
        <v>7</v>
      </c>
      <c r="D7" s="4">
        <f>C7*怪物经验!B7</f>
        <v>525</v>
      </c>
    </row>
    <row r="8" spans="1:4" s="3" customFormat="1" ht="20.100000000000001" customHeight="1" x14ac:dyDescent="0.2">
      <c r="A8" s="2">
        <v>7</v>
      </c>
      <c r="B8" s="4">
        <v>3</v>
      </c>
      <c r="C8" s="4">
        <v>8</v>
      </c>
      <c r="D8" s="4">
        <f>C8*怪物经验!B8</f>
        <v>640</v>
      </c>
    </row>
    <row r="9" spans="1:4" s="3" customFormat="1" ht="20.100000000000001" customHeight="1" x14ac:dyDescent="0.2">
      <c r="A9" s="2">
        <v>8</v>
      </c>
      <c r="B9" s="4">
        <v>3</v>
      </c>
      <c r="C9" s="4">
        <v>8</v>
      </c>
      <c r="D9" s="4">
        <f>C9*怪物经验!B9</f>
        <v>680</v>
      </c>
    </row>
    <row r="10" spans="1:4" s="3" customFormat="1" ht="20.100000000000001" customHeight="1" x14ac:dyDescent="0.2">
      <c r="A10" s="2">
        <v>9</v>
      </c>
      <c r="B10" s="4">
        <v>3</v>
      </c>
      <c r="C10" s="4">
        <v>9</v>
      </c>
      <c r="D10" s="4">
        <f>C10*怪物经验!B10</f>
        <v>810</v>
      </c>
    </row>
    <row r="11" spans="1:4" s="3" customFormat="1" ht="20.100000000000001" customHeight="1" x14ac:dyDescent="0.2">
      <c r="A11" s="2">
        <v>10</v>
      </c>
      <c r="B11" s="4">
        <v>3</v>
      </c>
      <c r="C11" s="4">
        <v>9</v>
      </c>
      <c r="D11" s="4">
        <f>C11*怪物经验!B11</f>
        <v>855</v>
      </c>
    </row>
    <row r="12" spans="1:4" s="3" customFormat="1" ht="20.100000000000001" customHeight="1" x14ac:dyDescent="0.2">
      <c r="A12" s="2">
        <v>11</v>
      </c>
      <c r="B12" s="4">
        <v>4</v>
      </c>
      <c r="C12" s="4">
        <v>10</v>
      </c>
      <c r="D12" s="4">
        <f>C12*怪物经验!B12</f>
        <v>1000</v>
      </c>
    </row>
    <row r="13" spans="1:4" s="3" customFormat="1" ht="20.100000000000001" customHeight="1" x14ac:dyDescent="0.2">
      <c r="A13" s="2">
        <v>12</v>
      </c>
      <c r="B13" s="4">
        <v>4</v>
      </c>
      <c r="C13" s="4">
        <v>10</v>
      </c>
      <c r="D13" s="4">
        <f>C13*怪物经验!B13</f>
        <v>1050</v>
      </c>
    </row>
    <row r="14" spans="1:4" s="3" customFormat="1" ht="20.100000000000001" customHeight="1" x14ac:dyDescent="0.2">
      <c r="A14" s="2">
        <v>13</v>
      </c>
      <c r="B14" s="4">
        <v>4</v>
      </c>
      <c r="C14" s="4">
        <v>11</v>
      </c>
      <c r="D14" s="4">
        <f>C14*怪物经验!B14</f>
        <v>1210</v>
      </c>
    </row>
    <row r="15" spans="1:4" s="3" customFormat="1" ht="20.100000000000001" customHeight="1" x14ac:dyDescent="0.2">
      <c r="A15" s="2">
        <v>14</v>
      </c>
      <c r="B15" s="4">
        <v>4</v>
      </c>
      <c r="C15" s="4">
        <v>11</v>
      </c>
      <c r="D15" s="4">
        <f>C15*怪物经验!B15</f>
        <v>1265</v>
      </c>
    </row>
    <row r="16" spans="1:4" s="3" customFormat="1" ht="20.100000000000001" customHeight="1" x14ac:dyDescent="0.2">
      <c r="A16" s="2">
        <v>15</v>
      </c>
      <c r="B16" s="4">
        <v>5</v>
      </c>
      <c r="C16" s="4">
        <v>12</v>
      </c>
      <c r="D16" s="4">
        <f>C16*怪物经验!B16</f>
        <v>1440</v>
      </c>
    </row>
    <row r="17" spans="1:4" s="3" customFormat="1" ht="20.100000000000001" customHeight="1" x14ac:dyDescent="0.2">
      <c r="A17" s="2">
        <v>16</v>
      </c>
      <c r="B17" s="4">
        <v>5</v>
      </c>
      <c r="C17" s="4">
        <v>12</v>
      </c>
      <c r="D17" s="4">
        <f>C17*怪物经验!B17</f>
        <v>1500</v>
      </c>
    </row>
    <row r="18" spans="1:4" s="3" customFormat="1" ht="20.100000000000001" customHeight="1" x14ac:dyDescent="0.2">
      <c r="A18" s="2">
        <v>17</v>
      </c>
      <c r="B18" s="4">
        <v>5</v>
      </c>
      <c r="C18" s="4">
        <v>13</v>
      </c>
      <c r="D18" s="4">
        <f>C18*怪物经验!B18</f>
        <v>1690</v>
      </c>
    </row>
    <row r="19" spans="1:4" s="3" customFormat="1" ht="20.100000000000001" customHeight="1" x14ac:dyDescent="0.2">
      <c r="A19" s="2">
        <v>18</v>
      </c>
      <c r="B19" s="4">
        <v>5</v>
      </c>
      <c r="C19" s="4">
        <v>13</v>
      </c>
      <c r="D19" s="4">
        <f>C19*怪物经验!B19</f>
        <v>1755</v>
      </c>
    </row>
    <row r="20" spans="1:4" s="3" customFormat="1" ht="20.100000000000001" customHeight="1" x14ac:dyDescent="0.2">
      <c r="A20" s="2">
        <v>19</v>
      </c>
      <c r="B20" s="4">
        <v>5</v>
      </c>
      <c r="C20" s="4">
        <v>14</v>
      </c>
      <c r="D20" s="4">
        <f>C20*怪物经验!B20</f>
        <v>1960</v>
      </c>
    </row>
    <row r="21" spans="1:4" s="3" customFormat="1" ht="20.100000000000001" customHeight="1" x14ac:dyDescent="0.2">
      <c r="A21" s="2">
        <v>20</v>
      </c>
      <c r="B21" s="4">
        <v>5</v>
      </c>
      <c r="C21" s="4">
        <v>14</v>
      </c>
      <c r="D21" s="4">
        <f>C21*怪物经验!B21</f>
        <v>2030</v>
      </c>
    </row>
    <row r="22" spans="1:4" s="3" customFormat="1" ht="20.100000000000001" customHeight="1" x14ac:dyDescent="0.2">
      <c r="A22" s="2">
        <v>21</v>
      </c>
      <c r="B22" s="4">
        <v>5</v>
      </c>
      <c r="C22" s="4">
        <v>15</v>
      </c>
      <c r="D22" s="4">
        <f>C22*怪物经验!B22</f>
        <v>2250</v>
      </c>
    </row>
    <row r="23" spans="1:4" s="3" customFormat="1" ht="20.100000000000001" customHeight="1" x14ac:dyDescent="0.2">
      <c r="A23" s="2">
        <v>22</v>
      </c>
      <c r="B23" s="4">
        <v>5</v>
      </c>
      <c r="C23" s="4">
        <v>15</v>
      </c>
      <c r="D23" s="4">
        <f>C23*怪物经验!B23</f>
        <v>2400</v>
      </c>
    </row>
    <row r="24" spans="1:4" s="3" customFormat="1" ht="20.100000000000001" customHeight="1" x14ac:dyDescent="0.2">
      <c r="A24" s="2">
        <v>23</v>
      </c>
      <c r="B24" s="4">
        <v>5</v>
      </c>
      <c r="C24" s="4">
        <v>15</v>
      </c>
      <c r="D24" s="4">
        <f>C24*怪物经验!B24</f>
        <v>2550</v>
      </c>
    </row>
    <row r="25" spans="1:4" s="3" customFormat="1" ht="20.100000000000001" customHeight="1" x14ac:dyDescent="0.2">
      <c r="A25" s="2">
        <v>24</v>
      </c>
      <c r="B25" s="4">
        <v>5</v>
      </c>
      <c r="C25" s="4">
        <v>15</v>
      </c>
      <c r="D25" s="4">
        <f>C25*怪物经验!B25</f>
        <v>2700</v>
      </c>
    </row>
    <row r="26" spans="1:4" s="3" customFormat="1" ht="20.100000000000001" customHeight="1" x14ac:dyDescent="0.2">
      <c r="A26" s="2">
        <v>25</v>
      </c>
      <c r="B26" s="4">
        <v>5</v>
      </c>
      <c r="C26" s="4">
        <v>15</v>
      </c>
      <c r="D26" s="4">
        <f>C26*怪物经验!B26</f>
        <v>2850</v>
      </c>
    </row>
    <row r="27" spans="1:4" s="3" customFormat="1" ht="20.100000000000001" customHeight="1" x14ac:dyDescent="0.2">
      <c r="A27" s="2">
        <v>26</v>
      </c>
      <c r="B27" s="4">
        <v>5</v>
      </c>
      <c r="C27" s="4">
        <v>15</v>
      </c>
      <c r="D27" s="4">
        <f>C27*怪物经验!B27</f>
        <v>3000</v>
      </c>
    </row>
    <row r="28" spans="1:4" s="3" customFormat="1" ht="20.100000000000001" customHeight="1" x14ac:dyDescent="0.2">
      <c r="A28" s="2">
        <v>27</v>
      </c>
      <c r="B28" s="4">
        <v>5</v>
      </c>
      <c r="C28" s="4">
        <v>15</v>
      </c>
      <c r="D28" s="4">
        <f>C28*怪物经验!B28</f>
        <v>3150</v>
      </c>
    </row>
    <row r="29" spans="1:4" s="3" customFormat="1" ht="20.100000000000001" customHeight="1" x14ac:dyDescent="0.2">
      <c r="A29" s="2">
        <v>28</v>
      </c>
      <c r="B29" s="4">
        <v>5</v>
      </c>
      <c r="C29" s="4">
        <v>15</v>
      </c>
      <c r="D29" s="4">
        <f>C29*怪物经验!B29</f>
        <v>3300</v>
      </c>
    </row>
    <row r="30" spans="1:4" s="3" customFormat="1" ht="20.100000000000001" customHeight="1" x14ac:dyDescent="0.2">
      <c r="A30" s="2">
        <v>29</v>
      </c>
      <c r="B30" s="4">
        <v>5</v>
      </c>
      <c r="C30" s="4">
        <v>15</v>
      </c>
      <c r="D30" s="4">
        <f>C30*怪物经验!B30</f>
        <v>3450</v>
      </c>
    </row>
    <row r="31" spans="1:4" s="3" customFormat="1" ht="20.100000000000001" customHeight="1" x14ac:dyDescent="0.2">
      <c r="A31" s="2">
        <v>30</v>
      </c>
      <c r="B31" s="4">
        <v>5</v>
      </c>
      <c r="C31" s="4">
        <v>15</v>
      </c>
      <c r="D31" s="4">
        <f>C31*怪物经验!B31</f>
        <v>3600</v>
      </c>
    </row>
    <row r="32" spans="1:4" s="3" customFormat="1" ht="20.100000000000001" customHeight="1" x14ac:dyDescent="0.2">
      <c r="A32" s="2">
        <v>31</v>
      </c>
      <c r="B32" s="4">
        <v>5</v>
      </c>
      <c r="C32" s="4">
        <v>15</v>
      </c>
      <c r="D32" s="4">
        <f>C32*怪物经验!B32</f>
        <v>3750</v>
      </c>
    </row>
    <row r="33" spans="1:4" s="3" customFormat="1" ht="20.100000000000001" customHeight="1" x14ac:dyDescent="0.2">
      <c r="A33" s="2">
        <v>32</v>
      </c>
      <c r="B33" s="4">
        <v>5</v>
      </c>
      <c r="C33" s="4">
        <v>15</v>
      </c>
      <c r="D33" s="4">
        <f>C33*怪物经验!B33</f>
        <v>3900</v>
      </c>
    </row>
    <row r="34" spans="1:4" s="3" customFormat="1" ht="20.100000000000001" customHeight="1" x14ac:dyDescent="0.2">
      <c r="A34" s="2">
        <v>33</v>
      </c>
      <c r="B34" s="4">
        <v>5</v>
      </c>
      <c r="C34" s="4">
        <v>15</v>
      </c>
      <c r="D34" s="4">
        <f>C34*怪物经验!B34</f>
        <v>4050</v>
      </c>
    </row>
    <row r="35" spans="1:4" s="3" customFormat="1" ht="20.100000000000001" customHeight="1" x14ac:dyDescent="0.2">
      <c r="A35" s="2">
        <v>34</v>
      </c>
      <c r="B35" s="4">
        <v>5</v>
      </c>
      <c r="C35" s="4">
        <v>15</v>
      </c>
      <c r="D35" s="4">
        <f>C35*怪物经验!B35</f>
        <v>4200</v>
      </c>
    </row>
    <row r="36" spans="1:4" s="3" customFormat="1" ht="20.100000000000001" customHeight="1" x14ac:dyDescent="0.2">
      <c r="A36" s="2">
        <v>35</v>
      </c>
      <c r="B36" s="4">
        <v>5</v>
      </c>
      <c r="C36" s="4">
        <v>15</v>
      </c>
      <c r="D36" s="4">
        <f>C36*怪物经验!B36</f>
        <v>4350</v>
      </c>
    </row>
    <row r="37" spans="1:4" s="3" customFormat="1" ht="20.100000000000001" customHeight="1" x14ac:dyDescent="0.2">
      <c r="A37" s="2">
        <v>36</v>
      </c>
      <c r="B37" s="4">
        <v>5</v>
      </c>
      <c r="C37" s="4">
        <v>15</v>
      </c>
      <c r="D37" s="4">
        <f>C37*怪物经验!B37</f>
        <v>4500</v>
      </c>
    </row>
    <row r="38" spans="1:4" s="3" customFormat="1" ht="20.100000000000001" customHeight="1" x14ac:dyDescent="0.2">
      <c r="A38" s="2">
        <v>37</v>
      </c>
      <c r="B38" s="4">
        <v>5</v>
      </c>
      <c r="C38" s="4">
        <v>15</v>
      </c>
      <c r="D38" s="4">
        <f>C38*怪物经验!B38</f>
        <v>4650</v>
      </c>
    </row>
    <row r="39" spans="1:4" s="3" customFormat="1" ht="20.100000000000001" customHeight="1" x14ac:dyDescent="0.2">
      <c r="A39" s="2">
        <v>38</v>
      </c>
      <c r="B39" s="4">
        <v>5</v>
      </c>
      <c r="C39" s="4">
        <v>15</v>
      </c>
      <c r="D39" s="4">
        <f>C39*怪物经验!B39</f>
        <v>4800</v>
      </c>
    </row>
    <row r="40" spans="1:4" s="3" customFormat="1" ht="20.100000000000001" customHeight="1" x14ac:dyDescent="0.2">
      <c r="A40" s="2">
        <v>39</v>
      </c>
      <c r="B40" s="4">
        <v>5</v>
      </c>
      <c r="C40" s="4">
        <v>15</v>
      </c>
      <c r="D40" s="4">
        <f>C40*怪物经验!B40</f>
        <v>4950</v>
      </c>
    </row>
    <row r="41" spans="1:4" s="3" customFormat="1" ht="20.100000000000001" customHeight="1" x14ac:dyDescent="0.2">
      <c r="A41" s="2">
        <v>40</v>
      </c>
      <c r="B41" s="4">
        <v>5</v>
      </c>
      <c r="C41" s="4">
        <v>15</v>
      </c>
      <c r="D41" s="4">
        <f>C41*怪物经验!B41</f>
        <v>5100</v>
      </c>
    </row>
    <row r="42" spans="1:4" s="3" customFormat="1" ht="20.100000000000001" customHeight="1" x14ac:dyDescent="0.2">
      <c r="A42" s="2">
        <v>41</v>
      </c>
      <c r="B42" s="4">
        <v>5</v>
      </c>
      <c r="C42" s="4">
        <v>15</v>
      </c>
      <c r="D42" s="4">
        <f>C42*怪物经验!B42</f>
        <v>5250</v>
      </c>
    </row>
    <row r="43" spans="1:4" s="3" customFormat="1" ht="20.100000000000001" customHeight="1" x14ac:dyDescent="0.2">
      <c r="A43" s="2">
        <v>42</v>
      </c>
      <c r="B43" s="4">
        <v>5</v>
      </c>
      <c r="C43" s="4">
        <v>15</v>
      </c>
      <c r="D43" s="4">
        <f>C43*怪物经验!B43</f>
        <v>5400</v>
      </c>
    </row>
    <row r="44" spans="1:4" s="3" customFormat="1" ht="20.100000000000001" customHeight="1" x14ac:dyDescent="0.2">
      <c r="A44" s="2">
        <v>43</v>
      </c>
      <c r="B44" s="4">
        <v>5</v>
      </c>
      <c r="C44" s="4">
        <v>15</v>
      </c>
      <c r="D44" s="4">
        <f>C44*怪物经验!B44</f>
        <v>5550</v>
      </c>
    </row>
    <row r="45" spans="1:4" s="3" customFormat="1" ht="20.100000000000001" customHeight="1" x14ac:dyDescent="0.2">
      <c r="A45" s="2">
        <v>44</v>
      </c>
      <c r="B45" s="4">
        <v>5</v>
      </c>
      <c r="C45" s="4">
        <v>15</v>
      </c>
      <c r="D45" s="4">
        <f>C45*怪物经验!B45</f>
        <v>5700</v>
      </c>
    </row>
    <row r="46" spans="1:4" s="3" customFormat="1" ht="20.100000000000001" customHeight="1" x14ac:dyDescent="0.2">
      <c r="A46" s="2">
        <v>45</v>
      </c>
      <c r="B46" s="4">
        <v>5</v>
      </c>
      <c r="C46" s="4">
        <v>15</v>
      </c>
      <c r="D46" s="4">
        <f>C46*怪物经验!B46</f>
        <v>5850</v>
      </c>
    </row>
    <row r="47" spans="1:4" s="3" customFormat="1" ht="20.100000000000001" customHeight="1" x14ac:dyDescent="0.2">
      <c r="A47" s="2">
        <v>46</v>
      </c>
      <c r="B47" s="4">
        <v>5</v>
      </c>
      <c r="C47" s="4">
        <v>15</v>
      </c>
      <c r="D47" s="4">
        <f>C47*怪物经验!B47</f>
        <v>6000</v>
      </c>
    </row>
    <row r="48" spans="1:4" s="3" customFormat="1" ht="20.100000000000001" customHeight="1" x14ac:dyDescent="0.2">
      <c r="A48" s="2">
        <v>47</v>
      </c>
      <c r="B48" s="4">
        <v>5</v>
      </c>
      <c r="C48" s="4">
        <v>15</v>
      </c>
      <c r="D48" s="4">
        <f>C48*怪物经验!B48</f>
        <v>6225</v>
      </c>
    </row>
    <row r="49" spans="1:4" s="3" customFormat="1" ht="20.100000000000001" customHeight="1" x14ac:dyDescent="0.2">
      <c r="A49" s="2">
        <v>48</v>
      </c>
      <c r="B49" s="4">
        <v>5</v>
      </c>
      <c r="C49" s="4">
        <v>15</v>
      </c>
      <c r="D49" s="4">
        <f>C49*怪物经验!B49</f>
        <v>6450</v>
      </c>
    </row>
    <row r="50" spans="1:4" s="3" customFormat="1" ht="20.100000000000001" customHeight="1" x14ac:dyDescent="0.2">
      <c r="A50" s="2">
        <v>49</v>
      </c>
      <c r="B50" s="4">
        <v>5</v>
      </c>
      <c r="C50" s="4">
        <v>15</v>
      </c>
      <c r="D50" s="4">
        <f>C50*怪物经验!B50</f>
        <v>6675</v>
      </c>
    </row>
    <row r="51" spans="1:4" s="3" customFormat="1" ht="20.100000000000001" customHeight="1" x14ac:dyDescent="0.2">
      <c r="A51" s="2">
        <v>50</v>
      </c>
      <c r="B51" s="4">
        <v>5</v>
      </c>
      <c r="C51" s="4">
        <v>15</v>
      </c>
      <c r="D51" s="4">
        <f>C51*怪物经验!B51</f>
        <v>6900</v>
      </c>
    </row>
    <row r="52" spans="1:4" s="3" customFormat="1" ht="20.100000000000001" customHeight="1" x14ac:dyDescent="0.2">
      <c r="A52" s="2">
        <v>51</v>
      </c>
      <c r="B52" s="4">
        <v>5</v>
      </c>
      <c r="C52" s="4">
        <v>15</v>
      </c>
      <c r="D52" s="4">
        <f>C52*怪物经验!B52</f>
        <v>7125</v>
      </c>
    </row>
    <row r="53" spans="1:4" s="3" customFormat="1" ht="20.100000000000001" customHeight="1" x14ac:dyDescent="0.2">
      <c r="A53" s="2">
        <v>52</v>
      </c>
      <c r="B53" s="4">
        <v>5</v>
      </c>
      <c r="C53" s="4">
        <v>15</v>
      </c>
      <c r="D53" s="4">
        <f>C53*怪物经验!B53</f>
        <v>7350</v>
      </c>
    </row>
    <row r="54" spans="1:4" s="3" customFormat="1" ht="20.100000000000001" customHeight="1" x14ac:dyDescent="0.2">
      <c r="A54" s="2">
        <v>53</v>
      </c>
      <c r="B54" s="4">
        <v>5</v>
      </c>
      <c r="C54" s="4">
        <v>15</v>
      </c>
      <c r="D54" s="4">
        <f>C54*怪物经验!B54</f>
        <v>7575</v>
      </c>
    </row>
    <row r="55" spans="1:4" s="3" customFormat="1" ht="20.100000000000001" customHeight="1" x14ac:dyDescent="0.2">
      <c r="A55" s="2">
        <v>54</v>
      </c>
      <c r="B55" s="4">
        <v>5</v>
      </c>
      <c r="C55" s="4">
        <v>15</v>
      </c>
      <c r="D55" s="4">
        <f>C55*怪物经验!B55</f>
        <v>7800</v>
      </c>
    </row>
    <row r="56" spans="1:4" s="3" customFormat="1" ht="20.100000000000001" customHeight="1" x14ac:dyDescent="0.2">
      <c r="A56" s="2">
        <v>55</v>
      </c>
      <c r="B56" s="4">
        <v>5</v>
      </c>
      <c r="C56" s="4">
        <v>15</v>
      </c>
      <c r="D56" s="4">
        <f>C56*怪物经验!B56</f>
        <v>8025</v>
      </c>
    </row>
    <row r="57" spans="1:4" s="3" customFormat="1" ht="20.100000000000001" customHeight="1" x14ac:dyDescent="0.2">
      <c r="A57" s="2">
        <v>56</v>
      </c>
      <c r="B57" s="4">
        <v>5</v>
      </c>
      <c r="C57" s="4">
        <v>15</v>
      </c>
      <c r="D57" s="4">
        <f>C57*怪物经验!B57</f>
        <v>8250</v>
      </c>
    </row>
    <row r="58" spans="1:4" s="3" customFormat="1" ht="20.100000000000001" customHeight="1" x14ac:dyDescent="0.2">
      <c r="A58" s="2">
        <v>57</v>
      </c>
      <c r="B58" s="4">
        <v>5</v>
      </c>
      <c r="C58" s="4">
        <v>15</v>
      </c>
      <c r="D58" s="4">
        <f>C58*怪物经验!B58</f>
        <v>8475</v>
      </c>
    </row>
    <row r="59" spans="1:4" s="3" customFormat="1" ht="20.100000000000001" customHeight="1" x14ac:dyDescent="0.2">
      <c r="A59" s="2">
        <v>58</v>
      </c>
      <c r="B59" s="4">
        <v>5</v>
      </c>
      <c r="C59" s="4">
        <v>15</v>
      </c>
      <c r="D59" s="4">
        <f>C59*怪物经验!B59</f>
        <v>8700</v>
      </c>
    </row>
    <row r="60" spans="1:4" s="3" customFormat="1" ht="20.100000000000001" customHeight="1" x14ac:dyDescent="0.2">
      <c r="A60" s="2">
        <v>59</v>
      </c>
      <c r="B60" s="4">
        <v>5</v>
      </c>
      <c r="C60" s="4">
        <v>15</v>
      </c>
      <c r="D60" s="4">
        <f>C60*怪物经验!B60</f>
        <v>8925</v>
      </c>
    </row>
    <row r="61" spans="1:4" s="3" customFormat="1" ht="20.100000000000001" customHeight="1" x14ac:dyDescent="0.2">
      <c r="A61" s="2">
        <v>60</v>
      </c>
      <c r="B61" s="4">
        <v>5</v>
      </c>
      <c r="C61" s="4">
        <v>15</v>
      </c>
      <c r="D61" s="4">
        <f>C61*怪物经验!B61</f>
        <v>9150</v>
      </c>
    </row>
    <row r="62" spans="1:4" s="3" customFormat="1" ht="20.100000000000001" customHeight="1" x14ac:dyDescent="0.2">
      <c r="A62" s="2">
        <v>61</v>
      </c>
      <c r="B62" s="4">
        <v>5</v>
      </c>
      <c r="C62" s="4">
        <v>15</v>
      </c>
      <c r="D62" s="4">
        <f>C62*怪物经验!B62</f>
        <v>9375</v>
      </c>
    </row>
    <row r="63" spans="1:4" s="3" customFormat="1" ht="20.100000000000001" customHeight="1" x14ac:dyDescent="0.2">
      <c r="A63" s="2">
        <v>62</v>
      </c>
      <c r="B63" s="4">
        <v>5</v>
      </c>
      <c r="C63" s="4">
        <v>15</v>
      </c>
      <c r="D63" s="4">
        <f>C63*怪物经验!B63</f>
        <v>9600</v>
      </c>
    </row>
    <row r="64" spans="1:4" s="3" customFormat="1" ht="20.100000000000001" customHeight="1" x14ac:dyDescent="0.2">
      <c r="A64" s="2">
        <v>63</v>
      </c>
      <c r="B64" s="4">
        <v>5</v>
      </c>
      <c r="C64" s="4">
        <v>15</v>
      </c>
      <c r="D64" s="4">
        <f>C64*怪物经验!B64</f>
        <v>9825</v>
      </c>
    </row>
    <row r="65" spans="1:4" s="3" customFormat="1" ht="20.100000000000001" customHeight="1" x14ac:dyDescent="0.2">
      <c r="A65" s="2">
        <v>64</v>
      </c>
      <c r="B65" s="4">
        <v>5</v>
      </c>
      <c r="C65" s="4">
        <v>15</v>
      </c>
      <c r="D65" s="4">
        <f>C65*怪物经验!B65</f>
        <v>10050</v>
      </c>
    </row>
    <row r="66" spans="1:4" s="3" customFormat="1" ht="20.100000000000001" customHeight="1" x14ac:dyDescent="0.2">
      <c r="A66" s="2">
        <v>65</v>
      </c>
      <c r="B66" s="4">
        <v>5</v>
      </c>
      <c r="C66" s="4">
        <v>15</v>
      </c>
      <c r="D66" s="4">
        <f>C66*怪物经验!B66</f>
        <v>10275</v>
      </c>
    </row>
    <row r="67" spans="1:4" s="3" customFormat="1" ht="20.100000000000001" customHeight="1" x14ac:dyDescent="0.2">
      <c r="A67" s="2">
        <v>66</v>
      </c>
      <c r="B67" s="4">
        <v>5</v>
      </c>
      <c r="C67" s="4">
        <v>15</v>
      </c>
      <c r="D67" s="4">
        <f>C67*怪物经验!B67</f>
        <v>10500</v>
      </c>
    </row>
    <row r="68" spans="1:4" s="3" customFormat="1" ht="20.100000000000001" customHeight="1" x14ac:dyDescent="0.2">
      <c r="A68" s="2">
        <v>67</v>
      </c>
      <c r="B68" s="4">
        <v>5</v>
      </c>
      <c r="C68" s="4">
        <v>15</v>
      </c>
      <c r="D68" s="4">
        <f>C68*怪物经验!B68</f>
        <v>10800</v>
      </c>
    </row>
    <row r="69" spans="1:4" s="3" customFormat="1" ht="20.100000000000001" customHeight="1" x14ac:dyDescent="0.2">
      <c r="A69" s="2">
        <v>68</v>
      </c>
      <c r="B69" s="4">
        <v>5</v>
      </c>
      <c r="C69" s="4">
        <v>15</v>
      </c>
      <c r="D69" s="4">
        <f>C69*怪物经验!B69</f>
        <v>11100</v>
      </c>
    </row>
    <row r="70" spans="1:4" s="3" customFormat="1" ht="20.100000000000001" customHeight="1" x14ac:dyDescent="0.2">
      <c r="A70" s="2">
        <v>69</v>
      </c>
      <c r="B70" s="4">
        <v>5</v>
      </c>
      <c r="C70" s="4">
        <v>15</v>
      </c>
      <c r="D70" s="4">
        <f>C70*怪物经验!B70</f>
        <v>11400</v>
      </c>
    </row>
    <row r="71" spans="1:4" s="3" customFormat="1" ht="20.100000000000001" customHeight="1" x14ac:dyDescent="0.2">
      <c r="A71" s="2">
        <v>70</v>
      </c>
      <c r="B71" s="4">
        <v>5</v>
      </c>
      <c r="C71" s="4">
        <v>15</v>
      </c>
      <c r="D71" s="4">
        <f>C71*怪物经验!B71</f>
        <v>11700</v>
      </c>
    </row>
    <row r="72" spans="1:4" ht="20.100000000000001" customHeight="1" x14ac:dyDescent="0.2"/>
    <row r="73" spans="1:4" ht="20.100000000000001" customHeight="1" x14ac:dyDescent="0.2"/>
    <row r="74" spans="1:4" ht="20.100000000000001" customHeight="1" x14ac:dyDescent="0.2"/>
    <row r="75" spans="1:4" ht="20.100000000000001" customHeight="1" x14ac:dyDescent="0.2"/>
    <row r="76" spans="1:4" ht="20.100000000000001" customHeight="1" x14ac:dyDescent="0.2"/>
    <row r="77" spans="1:4" ht="20.100000000000001" customHeight="1" x14ac:dyDescent="0.2"/>
    <row r="78" spans="1:4" ht="20.100000000000001" customHeight="1" x14ac:dyDescent="0.2"/>
    <row r="79" spans="1:4" ht="20.100000000000001" customHeight="1" x14ac:dyDescent="0.2"/>
    <row r="80" spans="1:4" ht="20.100000000000001" customHeight="1" x14ac:dyDescent="0.2"/>
    <row r="81" ht="20.100000000000001" customHeight="1" x14ac:dyDescent="0.2"/>
    <row r="82" ht="20.100000000000001" customHeight="1" x14ac:dyDescent="0.2"/>
    <row r="83" ht="20.100000000000001" customHeight="1" x14ac:dyDescent="0.2"/>
    <row r="84" ht="20.100000000000001" customHeight="1" x14ac:dyDescent="0.2"/>
    <row r="85" ht="20.100000000000001" customHeight="1" x14ac:dyDescent="0.2"/>
    <row r="86" ht="20.100000000000001" customHeight="1" x14ac:dyDescent="0.2"/>
    <row r="87" ht="20.100000000000001" customHeight="1" x14ac:dyDescent="0.2"/>
    <row r="88" ht="20.100000000000001" customHeight="1" x14ac:dyDescent="0.2"/>
    <row r="89" ht="20.100000000000001" customHeight="1" x14ac:dyDescent="0.2"/>
    <row r="90" ht="20.100000000000001" customHeight="1" x14ac:dyDescent="0.2"/>
    <row r="91" ht="20.100000000000001" customHeight="1" x14ac:dyDescent="0.2"/>
    <row r="92" ht="20.100000000000001" customHeight="1" x14ac:dyDescent="0.2"/>
    <row r="93" ht="20.100000000000001" customHeight="1" x14ac:dyDescent="0.2"/>
    <row r="94" ht="20.100000000000001" customHeight="1" x14ac:dyDescent="0.2"/>
    <row r="95" ht="20.100000000000001" customHeight="1" x14ac:dyDescent="0.2"/>
    <row r="96" ht="20.100000000000001" customHeight="1" x14ac:dyDescent="0.2"/>
    <row r="97" ht="20.100000000000001" customHeight="1" x14ac:dyDescent="0.2"/>
    <row r="98" ht="20.100000000000001" customHeight="1" x14ac:dyDescent="0.2"/>
    <row r="99" ht="20.100000000000001" customHeight="1" x14ac:dyDescent="0.2"/>
    <row r="100" ht="20.100000000000001" customHeight="1" x14ac:dyDescent="0.2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首页经验</vt:lpstr>
      <vt:lpstr>怪物经验</vt:lpstr>
      <vt:lpstr>任务经验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xiaojin chen</cp:lastModifiedBy>
  <dcterms:created xsi:type="dcterms:W3CDTF">2015-06-05T18:19:34Z</dcterms:created>
  <dcterms:modified xsi:type="dcterms:W3CDTF">2025-10-11T07:53:28Z</dcterms:modified>
</cp:coreProperties>
</file>