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:\GitDreamJourney\GameDesign\数值文档\"/>
    </mc:Choice>
  </mc:AlternateContent>
  <xr:revisionPtr revIDLastSave="0" documentId="13_ncr:1_{8BD6BDAF-CA0C-45C3-BD3F-0500AE3FE86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首页" sheetId="1" r:id="rId1"/>
    <sheet name="属性" sheetId="2" r:id="rId2"/>
    <sheet name="装备属性" sheetId="3" r:id="rId3"/>
    <sheet name="怪物属性" sheetId="4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3" i="4" l="1"/>
  <c r="Q4" i="4"/>
  <c r="Q5" i="4"/>
  <c r="Q6" i="4"/>
  <c r="Q7" i="4"/>
  <c r="Q8" i="4"/>
  <c r="Q9" i="4"/>
  <c r="Q2" i="4"/>
  <c r="A144" i="4"/>
  <c r="A143" i="4"/>
  <c r="A142" i="4"/>
  <c r="A141" i="4"/>
  <c r="A140" i="4"/>
  <c r="A139" i="4"/>
  <c r="A138" i="4"/>
  <c r="A137" i="4"/>
  <c r="A136" i="4"/>
  <c r="A135" i="4"/>
  <c r="A134" i="4"/>
  <c r="A133" i="4"/>
  <c r="A132" i="4"/>
  <c r="A131" i="4"/>
  <c r="A130" i="4"/>
  <c r="A129" i="4"/>
  <c r="A128" i="4"/>
  <c r="A127" i="4"/>
  <c r="A126" i="4"/>
  <c r="A125" i="4"/>
  <c r="A124" i="4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5" i="4"/>
  <c r="A104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D3" i="4"/>
  <c r="G3" i="4" s="1"/>
  <c r="E76" i="4" s="1"/>
  <c r="A3" i="4"/>
  <c r="G2" i="4"/>
  <c r="E75" i="4" s="1"/>
  <c r="F2" i="4"/>
  <c r="J2" i="4" s="1"/>
  <c r="H75" i="4" s="1"/>
  <c r="A2" i="4"/>
  <c r="C4" i="3"/>
  <c r="C5" i="3" s="1"/>
  <c r="C6" i="3" s="1"/>
  <c r="C7" i="3" s="1"/>
  <c r="C8" i="3" s="1"/>
  <c r="C9" i="3" s="1"/>
  <c r="C10" i="3" s="1"/>
  <c r="O10" i="3"/>
  <c r="N10" i="3"/>
  <c r="M10" i="3"/>
  <c r="P4" i="3"/>
  <c r="P5" i="3"/>
  <c r="P6" i="3"/>
  <c r="P7" i="3"/>
  <c r="P8" i="3"/>
  <c r="P3" i="3"/>
  <c r="L10" i="3"/>
  <c r="G3" i="3"/>
  <c r="M16" i="3" s="1"/>
  <c r="H3" i="3"/>
  <c r="N16" i="3" s="1"/>
  <c r="I3" i="3"/>
  <c r="O16" i="3" s="1"/>
  <c r="F3" i="3"/>
  <c r="L16" i="3" s="1"/>
  <c r="X5" i="3"/>
  <c r="X4" i="3"/>
  <c r="X3" i="3"/>
  <c r="D3" i="2"/>
  <c r="E3" i="2"/>
  <c r="F3" i="2"/>
  <c r="G3" i="2"/>
  <c r="D4" i="2"/>
  <c r="E4" i="2"/>
  <c r="F4" i="2"/>
  <c r="G4" i="2"/>
  <c r="D5" i="2"/>
  <c r="E5" i="2"/>
  <c r="F5" i="2"/>
  <c r="G5" i="2"/>
  <c r="D6" i="2"/>
  <c r="E6" i="2"/>
  <c r="F6" i="2"/>
  <c r="G6" i="2"/>
  <c r="D7" i="2"/>
  <c r="E7" i="2"/>
  <c r="F7" i="2"/>
  <c r="G7" i="2"/>
  <c r="D8" i="2"/>
  <c r="E8" i="2"/>
  <c r="F8" i="2"/>
  <c r="G8" i="2"/>
  <c r="D9" i="2"/>
  <c r="E9" i="2"/>
  <c r="F9" i="2"/>
  <c r="G9" i="2"/>
  <c r="D10" i="2"/>
  <c r="E10" i="2"/>
  <c r="F10" i="2"/>
  <c r="G10" i="2"/>
  <c r="D11" i="2"/>
  <c r="E11" i="2"/>
  <c r="F11" i="2"/>
  <c r="G11" i="2"/>
  <c r="D12" i="2"/>
  <c r="E12" i="2"/>
  <c r="F12" i="2"/>
  <c r="G12" i="2"/>
  <c r="D13" i="2"/>
  <c r="E13" i="2"/>
  <c r="F13" i="2"/>
  <c r="G13" i="2"/>
  <c r="D14" i="2"/>
  <c r="E14" i="2"/>
  <c r="F14" i="2"/>
  <c r="G14" i="2"/>
  <c r="D15" i="2"/>
  <c r="E15" i="2"/>
  <c r="F15" i="2"/>
  <c r="G15" i="2"/>
  <c r="D16" i="2"/>
  <c r="E16" i="2"/>
  <c r="F16" i="2"/>
  <c r="G16" i="2"/>
  <c r="D17" i="2"/>
  <c r="E17" i="2"/>
  <c r="F17" i="2"/>
  <c r="G17" i="2"/>
  <c r="D18" i="2"/>
  <c r="E18" i="2"/>
  <c r="F18" i="2"/>
  <c r="G18" i="2"/>
  <c r="D19" i="2"/>
  <c r="E19" i="2"/>
  <c r="F19" i="2"/>
  <c r="G19" i="2"/>
  <c r="D20" i="2"/>
  <c r="E20" i="2"/>
  <c r="F20" i="2"/>
  <c r="G20" i="2"/>
  <c r="D21" i="2"/>
  <c r="E21" i="2"/>
  <c r="F21" i="2"/>
  <c r="G21" i="2"/>
  <c r="D22" i="2"/>
  <c r="E22" i="2"/>
  <c r="F22" i="2"/>
  <c r="G22" i="2"/>
  <c r="D23" i="2"/>
  <c r="E23" i="2"/>
  <c r="F23" i="2"/>
  <c r="G23" i="2"/>
  <c r="D24" i="2"/>
  <c r="E24" i="2"/>
  <c r="F24" i="2"/>
  <c r="G24" i="2"/>
  <c r="D25" i="2"/>
  <c r="E25" i="2"/>
  <c r="F25" i="2"/>
  <c r="G25" i="2"/>
  <c r="D26" i="2"/>
  <c r="E26" i="2"/>
  <c r="F26" i="2"/>
  <c r="G26" i="2"/>
  <c r="D27" i="2"/>
  <c r="E27" i="2"/>
  <c r="F27" i="2"/>
  <c r="G27" i="2"/>
  <c r="D28" i="2"/>
  <c r="E28" i="2"/>
  <c r="F28" i="2"/>
  <c r="G28" i="2"/>
  <c r="D29" i="2"/>
  <c r="E29" i="2"/>
  <c r="F29" i="2"/>
  <c r="G29" i="2"/>
  <c r="D30" i="2"/>
  <c r="E30" i="2"/>
  <c r="F30" i="2"/>
  <c r="G30" i="2"/>
  <c r="D31" i="2"/>
  <c r="E31" i="2"/>
  <c r="F31" i="2"/>
  <c r="G31" i="2"/>
  <c r="D32" i="2"/>
  <c r="E32" i="2"/>
  <c r="F32" i="2"/>
  <c r="G32" i="2"/>
  <c r="D33" i="2"/>
  <c r="E33" i="2"/>
  <c r="F33" i="2"/>
  <c r="G33" i="2"/>
  <c r="D34" i="2"/>
  <c r="E34" i="2"/>
  <c r="F34" i="2"/>
  <c r="G34" i="2"/>
  <c r="D35" i="2"/>
  <c r="E35" i="2"/>
  <c r="F35" i="2"/>
  <c r="G35" i="2"/>
  <c r="D36" i="2"/>
  <c r="E36" i="2"/>
  <c r="F36" i="2"/>
  <c r="G36" i="2"/>
  <c r="D37" i="2"/>
  <c r="E37" i="2"/>
  <c r="F37" i="2"/>
  <c r="G37" i="2"/>
  <c r="D38" i="2"/>
  <c r="E38" i="2"/>
  <c r="F38" i="2"/>
  <c r="G38" i="2"/>
  <c r="D39" i="2"/>
  <c r="E39" i="2"/>
  <c r="F39" i="2"/>
  <c r="G39" i="2"/>
  <c r="D40" i="2"/>
  <c r="E40" i="2"/>
  <c r="F40" i="2"/>
  <c r="G40" i="2"/>
  <c r="D41" i="2"/>
  <c r="E41" i="2"/>
  <c r="F41" i="2"/>
  <c r="G41" i="2"/>
  <c r="D42" i="2"/>
  <c r="E42" i="2"/>
  <c r="F42" i="2"/>
  <c r="G42" i="2"/>
  <c r="D43" i="2"/>
  <c r="E43" i="2"/>
  <c r="F43" i="2"/>
  <c r="G43" i="2"/>
  <c r="D44" i="2"/>
  <c r="E44" i="2"/>
  <c r="F44" i="2"/>
  <c r="G44" i="2"/>
  <c r="D45" i="2"/>
  <c r="E45" i="2"/>
  <c r="F45" i="2"/>
  <c r="G45" i="2"/>
  <c r="D46" i="2"/>
  <c r="E46" i="2"/>
  <c r="F46" i="2"/>
  <c r="G46" i="2"/>
  <c r="D47" i="2"/>
  <c r="E47" i="2"/>
  <c r="F47" i="2"/>
  <c r="G47" i="2"/>
  <c r="D48" i="2"/>
  <c r="E48" i="2"/>
  <c r="F48" i="2"/>
  <c r="G48" i="2"/>
  <c r="D49" i="2"/>
  <c r="E49" i="2"/>
  <c r="F49" i="2"/>
  <c r="G49" i="2"/>
  <c r="D50" i="2"/>
  <c r="E50" i="2"/>
  <c r="F50" i="2"/>
  <c r="G50" i="2"/>
  <c r="D51" i="2"/>
  <c r="E51" i="2"/>
  <c r="F51" i="2"/>
  <c r="G51" i="2"/>
  <c r="D52" i="2"/>
  <c r="E52" i="2"/>
  <c r="F52" i="2"/>
  <c r="G52" i="2"/>
  <c r="D53" i="2"/>
  <c r="E53" i="2"/>
  <c r="F53" i="2"/>
  <c r="G53" i="2"/>
  <c r="D54" i="2"/>
  <c r="E54" i="2"/>
  <c r="F54" i="2"/>
  <c r="G54" i="2"/>
  <c r="D55" i="2"/>
  <c r="E55" i="2"/>
  <c r="F55" i="2"/>
  <c r="G55" i="2"/>
  <c r="D56" i="2"/>
  <c r="E56" i="2"/>
  <c r="F56" i="2"/>
  <c r="G56" i="2"/>
  <c r="D57" i="2"/>
  <c r="E57" i="2"/>
  <c r="F57" i="2"/>
  <c r="G57" i="2"/>
  <c r="D58" i="2"/>
  <c r="E58" i="2"/>
  <c r="F58" i="2"/>
  <c r="G58" i="2"/>
  <c r="D59" i="2"/>
  <c r="E59" i="2"/>
  <c r="F59" i="2"/>
  <c r="G59" i="2"/>
  <c r="D60" i="2"/>
  <c r="E60" i="2"/>
  <c r="F60" i="2"/>
  <c r="G60" i="2"/>
  <c r="D61" i="2"/>
  <c r="E61" i="2"/>
  <c r="F61" i="2"/>
  <c r="G61" i="2"/>
  <c r="D62" i="2"/>
  <c r="E62" i="2"/>
  <c r="F62" i="2"/>
  <c r="G62" i="2"/>
  <c r="D63" i="2"/>
  <c r="E63" i="2"/>
  <c r="F63" i="2"/>
  <c r="G63" i="2"/>
  <c r="D64" i="2"/>
  <c r="E64" i="2"/>
  <c r="F64" i="2"/>
  <c r="G64" i="2"/>
  <c r="D65" i="2"/>
  <c r="E65" i="2"/>
  <c r="F65" i="2"/>
  <c r="G65" i="2"/>
  <c r="D66" i="2"/>
  <c r="E66" i="2"/>
  <c r="F66" i="2"/>
  <c r="G66" i="2"/>
  <c r="D67" i="2"/>
  <c r="E67" i="2"/>
  <c r="F67" i="2"/>
  <c r="G67" i="2"/>
  <c r="D68" i="2"/>
  <c r="E68" i="2"/>
  <c r="F68" i="2"/>
  <c r="G68" i="2"/>
  <c r="D69" i="2"/>
  <c r="E69" i="2"/>
  <c r="F69" i="2"/>
  <c r="G69" i="2"/>
  <c r="D70" i="2"/>
  <c r="E70" i="2"/>
  <c r="F70" i="2"/>
  <c r="G70" i="2"/>
  <c r="D71" i="2"/>
  <c r="E71" i="2"/>
  <c r="F71" i="2"/>
  <c r="G71" i="2"/>
  <c r="E2" i="2"/>
  <c r="F2" i="2"/>
  <c r="G2" i="2"/>
  <c r="D2" i="2"/>
  <c r="C4" i="2"/>
  <c r="C5" i="2" s="1"/>
  <c r="B4" i="2"/>
  <c r="B5" i="2" s="1"/>
  <c r="C3" i="2"/>
  <c r="B3" i="2"/>
  <c r="D7" i="1"/>
  <c r="D4" i="1" s="1"/>
  <c r="L8" i="1"/>
  <c r="K8" i="1"/>
  <c r="O6" i="1"/>
  <c r="N6" i="1"/>
  <c r="O5" i="1"/>
  <c r="N5" i="1"/>
  <c r="O4" i="1"/>
  <c r="N4" i="1"/>
  <c r="S2" i="4" l="1"/>
  <c r="F3" i="4"/>
  <c r="F4" i="4" s="1"/>
  <c r="F5" i="4" s="1"/>
  <c r="F6" i="4" s="1"/>
  <c r="F7" i="4" s="1"/>
  <c r="F8" i="4" s="1"/>
  <c r="F9" i="4" s="1"/>
  <c r="F10" i="4" s="1"/>
  <c r="F11" i="4" s="1"/>
  <c r="I2" i="4"/>
  <c r="G75" i="4" s="1"/>
  <c r="D4" i="4"/>
  <c r="H2" i="4"/>
  <c r="F75" i="4" s="1"/>
  <c r="H5" i="3"/>
  <c r="I5" i="3"/>
  <c r="I4" i="3"/>
  <c r="G4" i="3"/>
  <c r="H4" i="3"/>
  <c r="F4" i="3"/>
  <c r="G5" i="3"/>
  <c r="F5" i="3"/>
  <c r="I6" i="3"/>
  <c r="H6" i="3"/>
  <c r="G6" i="3"/>
  <c r="F6" i="3"/>
  <c r="O8" i="1"/>
  <c r="L15" i="3"/>
  <c r="O15" i="3"/>
  <c r="O18" i="3"/>
  <c r="L18" i="3"/>
  <c r="M15" i="3"/>
  <c r="N18" i="3"/>
  <c r="N15" i="3"/>
  <c r="M18" i="3"/>
  <c r="O20" i="3"/>
  <c r="O17" i="3"/>
  <c r="N20" i="3"/>
  <c r="N17" i="3"/>
  <c r="M20" i="3"/>
  <c r="M17" i="3"/>
  <c r="L20" i="3"/>
  <c r="L17" i="3"/>
  <c r="O19" i="3"/>
  <c r="N19" i="3"/>
  <c r="M19" i="3"/>
  <c r="L19" i="3"/>
  <c r="P10" i="3"/>
  <c r="C6" i="2"/>
  <c r="B6" i="2"/>
  <c r="M6" i="1"/>
  <c r="M4" i="1"/>
  <c r="N8" i="1"/>
  <c r="M5" i="1"/>
  <c r="F12" i="4" l="1"/>
  <c r="F13" i="4" s="1"/>
  <c r="F14" i="4" s="1"/>
  <c r="F15" i="4" s="1"/>
  <c r="F16" i="4" s="1"/>
  <c r="F17" i="4" s="1"/>
  <c r="F18" i="4" s="1"/>
  <c r="F19" i="4" s="1"/>
  <c r="F20" i="4" s="1"/>
  <c r="F21" i="4" s="1"/>
  <c r="S3" i="4"/>
  <c r="H3" i="4"/>
  <c r="F76" i="4" s="1"/>
  <c r="J3" i="4"/>
  <c r="H76" i="4" s="1"/>
  <c r="I3" i="4"/>
  <c r="G76" i="4" s="1"/>
  <c r="D5" i="4"/>
  <c r="G4" i="4"/>
  <c r="E77" i="4" s="1"/>
  <c r="F7" i="3"/>
  <c r="G7" i="3"/>
  <c r="H7" i="3"/>
  <c r="I7" i="3"/>
  <c r="B7" i="2"/>
  <c r="C7" i="2"/>
  <c r="M8" i="1"/>
  <c r="Q8" i="1" s="1"/>
  <c r="F22" i="4" l="1"/>
  <c r="F23" i="4" s="1"/>
  <c r="F24" i="4" s="1"/>
  <c r="F25" i="4" s="1"/>
  <c r="F26" i="4" s="1"/>
  <c r="F27" i="4" s="1"/>
  <c r="F28" i="4" s="1"/>
  <c r="F29" i="4" s="1"/>
  <c r="F30" i="4" s="1"/>
  <c r="F31" i="4" s="1"/>
  <c r="S4" i="4"/>
  <c r="G5" i="4"/>
  <c r="E78" i="4" s="1"/>
  <c r="D6" i="4"/>
  <c r="J4" i="4"/>
  <c r="H77" i="4" s="1"/>
  <c r="I4" i="4"/>
  <c r="G77" i="4" s="1"/>
  <c r="H4" i="4"/>
  <c r="F77" i="4" s="1"/>
  <c r="F8" i="3"/>
  <c r="G8" i="3"/>
  <c r="H8" i="3"/>
  <c r="I8" i="3"/>
  <c r="C8" i="2"/>
  <c r="B8" i="2"/>
  <c r="S5" i="4" l="1"/>
  <c r="F32" i="4"/>
  <c r="F33" i="4" s="1"/>
  <c r="F34" i="4" s="1"/>
  <c r="F35" i="4" s="1"/>
  <c r="F36" i="4" s="1"/>
  <c r="F37" i="4" s="1"/>
  <c r="F38" i="4" s="1"/>
  <c r="F39" i="4" s="1"/>
  <c r="F40" i="4" s="1"/>
  <c r="F41" i="4" s="1"/>
  <c r="G6" i="4"/>
  <c r="E79" i="4" s="1"/>
  <c r="D7" i="4"/>
  <c r="H5" i="4"/>
  <c r="F78" i="4" s="1"/>
  <c r="J5" i="4"/>
  <c r="H78" i="4" s="1"/>
  <c r="I5" i="4"/>
  <c r="G78" i="4" s="1"/>
  <c r="F9" i="3"/>
  <c r="G9" i="3"/>
  <c r="H9" i="3"/>
  <c r="I9" i="3"/>
  <c r="B9" i="2"/>
  <c r="C9" i="2"/>
  <c r="F42" i="4" l="1"/>
  <c r="F43" i="4" s="1"/>
  <c r="F44" i="4" s="1"/>
  <c r="F45" i="4" s="1"/>
  <c r="F46" i="4" s="1"/>
  <c r="F47" i="4" s="1"/>
  <c r="F48" i="4" s="1"/>
  <c r="F49" i="4" s="1"/>
  <c r="F50" i="4" s="1"/>
  <c r="F51" i="4" s="1"/>
  <c r="S6" i="4"/>
  <c r="D8" i="4"/>
  <c r="G7" i="4"/>
  <c r="E80" i="4" s="1"/>
  <c r="J6" i="4"/>
  <c r="H79" i="4" s="1"/>
  <c r="I6" i="4"/>
  <c r="G79" i="4" s="1"/>
  <c r="H6" i="4"/>
  <c r="F79" i="4" s="1"/>
  <c r="I10" i="3"/>
  <c r="G10" i="3"/>
  <c r="F10" i="3"/>
  <c r="H10" i="3"/>
  <c r="C10" i="2"/>
  <c r="B10" i="2"/>
  <c r="F52" i="4" l="1"/>
  <c r="F53" i="4" s="1"/>
  <c r="F54" i="4" s="1"/>
  <c r="F55" i="4" s="1"/>
  <c r="F56" i="4" s="1"/>
  <c r="F57" i="4" s="1"/>
  <c r="F58" i="4" s="1"/>
  <c r="F59" i="4" s="1"/>
  <c r="F60" i="4" s="1"/>
  <c r="F61" i="4" s="1"/>
  <c r="S7" i="4"/>
  <c r="J7" i="4"/>
  <c r="H80" i="4" s="1"/>
  <c r="I7" i="4"/>
  <c r="G80" i="4" s="1"/>
  <c r="H7" i="4"/>
  <c r="F80" i="4" s="1"/>
  <c r="G8" i="4"/>
  <c r="E81" i="4" s="1"/>
  <c r="D9" i="4"/>
  <c r="B11" i="2"/>
  <c r="C11" i="2"/>
  <c r="S8" i="4" l="1"/>
  <c r="F62" i="4"/>
  <c r="F63" i="4" s="1"/>
  <c r="F64" i="4" s="1"/>
  <c r="F65" i="4" s="1"/>
  <c r="F66" i="4" s="1"/>
  <c r="F67" i="4" s="1"/>
  <c r="F68" i="4" s="1"/>
  <c r="F69" i="4" s="1"/>
  <c r="F70" i="4" s="1"/>
  <c r="F71" i="4" s="1"/>
  <c r="S9" i="4" s="1"/>
  <c r="D10" i="4"/>
  <c r="G9" i="4"/>
  <c r="E82" i="4" s="1"/>
  <c r="I8" i="4"/>
  <c r="G81" i="4" s="1"/>
  <c r="H8" i="4"/>
  <c r="F81" i="4" s="1"/>
  <c r="J8" i="4"/>
  <c r="H81" i="4" s="1"/>
  <c r="C12" i="2"/>
  <c r="B12" i="2"/>
  <c r="J9" i="4" l="1"/>
  <c r="H82" i="4" s="1"/>
  <c r="I9" i="4"/>
  <c r="G82" i="4" s="1"/>
  <c r="H9" i="4"/>
  <c r="F82" i="4" s="1"/>
  <c r="G10" i="4"/>
  <c r="E83" i="4" s="1"/>
  <c r="D11" i="4"/>
  <c r="B13" i="2"/>
  <c r="C13" i="2"/>
  <c r="D12" i="4" l="1"/>
  <c r="G11" i="4"/>
  <c r="E84" i="4" s="1"/>
  <c r="I10" i="4"/>
  <c r="G83" i="4" s="1"/>
  <c r="H10" i="4"/>
  <c r="F83" i="4" s="1"/>
  <c r="J10" i="4"/>
  <c r="H83" i="4" s="1"/>
  <c r="C14" i="2"/>
  <c r="B14" i="2"/>
  <c r="J11" i="4" l="1"/>
  <c r="H84" i="4" s="1"/>
  <c r="I11" i="4"/>
  <c r="G84" i="4" s="1"/>
  <c r="H11" i="4"/>
  <c r="F84" i="4" s="1"/>
  <c r="G12" i="4"/>
  <c r="E85" i="4" s="1"/>
  <c r="D13" i="4"/>
  <c r="B15" i="2"/>
  <c r="C15" i="2"/>
  <c r="J12" i="4" l="1"/>
  <c r="H85" i="4" s="1"/>
  <c r="I12" i="4"/>
  <c r="G85" i="4" s="1"/>
  <c r="H12" i="4"/>
  <c r="F85" i="4" s="1"/>
  <c r="D14" i="4"/>
  <c r="G13" i="4"/>
  <c r="E86" i="4" s="1"/>
  <c r="C16" i="2"/>
  <c r="B16" i="2"/>
  <c r="D15" i="4" l="1"/>
  <c r="G14" i="4"/>
  <c r="E87" i="4" s="1"/>
  <c r="J13" i="4"/>
  <c r="H86" i="4" s="1"/>
  <c r="I13" i="4"/>
  <c r="G86" i="4" s="1"/>
  <c r="H13" i="4"/>
  <c r="F86" i="4" s="1"/>
  <c r="B17" i="2"/>
  <c r="C17" i="2"/>
  <c r="J14" i="4" l="1"/>
  <c r="H87" i="4" s="1"/>
  <c r="I14" i="4"/>
  <c r="G87" i="4" s="1"/>
  <c r="H14" i="4"/>
  <c r="F87" i="4" s="1"/>
  <c r="G15" i="4"/>
  <c r="E88" i="4" s="1"/>
  <c r="D16" i="4"/>
  <c r="C18" i="2"/>
  <c r="B18" i="2"/>
  <c r="D17" i="4" l="1"/>
  <c r="G16" i="4"/>
  <c r="E89" i="4" s="1"/>
  <c r="H15" i="4"/>
  <c r="F88" i="4" s="1"/>
  <c r="J15" i="4"/>
  <c r="H88" i="4" s="1"/>
  <c r="I15" i="4"/>
  <c r="G88" i="4" s="1"/>
  <c r="B19" i="2"/>
  <c r="C19" i="2"/>
  <c r="J16" i="4" l="1"/>
  <c r="H89" i="4" s="1"/>
  <c r="I16" i="4"/>
  <c r="G89" i="4" s="1"/>
  <c r="H16" i="4"/>
  <c r="F89" i="4" s="1"/>
  <c r="G17" i="4"/>
  <c r="E90" i="4" s="1"/>
  <c r="D18" i="4"/>
  <c r="C20" i="2"/>
  <c r="B20" i="2"/>
  <c r="D19" i="4" l="1"/>
  <c r="G18" i="4"/>
  <c r="E91" i="4" s="1"/>
  <c r="H17" i="4"/>
  <c r="F90" i="4" s="1"/>
  <c r="J17" i="4"/>
  <c r="H90" i="4" s="1"/>
  <c r="I17" i="4"/>
  <c r="G90" i="4" s="1"/>
  <c r="B21" i="2"/>
  <c r="C21" i="2"/>
  <c r="J18" i="4" l="1"/>
  <c r="H91" i="4" s="1"/>
  <c r="I18" i="4"/>
  <c r="G91" i="4" s="1"/>
  <c r="H18" i="4"/>
  <c r="F91" i="4" s="1"/>
  <c r="D20" i="4"/>
  <c r="G19" i="4"/>
  <c r="E92" i="4" s="1"/>
  <c r="C22" i="2"/>
  <c r="B22" i="2"/>
  <c r="G20" i="4" l="1"/>
  <c r="E93" i="4" s="1"/>
  <c r="D21" i="4"/>
  <c r="J19" i="4"/>
  <c r="H92" i="4" s="1"/>
  <c r="I19" i="4"/>
  <c r="G92" i="4" s="1"/>
  <c r="H19" i="4"/>
  <c r="F92" i="4" s="1"/>
  <c r="C23" i="2"/>
  <c r="B23" i="2"/>
  <c r="D22" i="4" l="1"/>
  <c r="G21" i="4"/>
  <c r="E94" i="4" s="1"/>
  <c r="I20" i="4"/>
  <c r="G93" i="4" s="1"/>
  <c r="H20" i="4"/>
  <c r="F93" i="4" s="1"/>
  <c r="J20" i="4"/>
  <c r="H93" i="4" s="1"/>
  <c r="B24" i="2"/>
  <c r="C24" i="2"/>
  <c r="J21" i="4" l="1"/>
  <c r="H94" i="4" s="1"/>
  <c r="I21" i="4"/>
  <c r="G94" i="4" s="1"/>
  <c r="H21" i="4"/>
  <c r="F94" i="4" s="1"/>
  <c r="G22" i="4"/>
  <c r="E95" i="4" s="1"/>
  <c r="D23" i="4"/>
  <c r="C25" i="2"/>
  <c r="B25" i="2"/>
  <c r="H22" i="4" l="1"/>
  <c r="F95" i="4" s="1"/>
  <c r="I22" i="4"/>
  <c r="G95" i="4" s="1"/>
  <c r="J22" i="4"/>
  <c r="H95" i="4" s="1"/>
  <c r="D24" i="4"/>
  <c r="G23" i="4"/>
  <c r="E96" i="4" s="1"/>
  <c r="B26" i="2"/>
  <c r="C26" i="2"/>
  <c r="D25" i="4" l="1"/>
  <c r="G24" i="4"/>
  <c r="E97" i="4" s="1"/>
  <c r="J23" i="4"/>
  <c r="H96" i="4" s="1"/>
  <c r="I23" i="4"/>
  <c r="G96" i="4" s="1"/>
  <c r="H23" i="4"/>
  <c r="F96" i="4" s="1"/>
  <c r="C27" i="2"/>
  <c r="B27" i="2"/>
  <c r="J24" i="4" l="1"/>
  <c r="H97" i="4" s="1"/>
  <c r="I24" i="4"/>
  <c r="G97" i="4" s="1"/>
  <c r="H24" i="4"/>
  <c r="F97" i="4" s="1"/>
  <c r="D26" i="4"/>
  <c r="G25" i="4"/>
  <c r="E98" i="4" s="1"/>
  <c r="B28" i="2"/>
  <c r="C28" i="2"/>
  <c r="D27" i="4" l="1"/>
  <c r="G26" i="4"/>
  <c r="E99" i="4" s="1"/>
  <c r="J25" i="4"/>
  <c r="H98" i="4" s="1"/>
  <c r="I25" i="4"/>
  <c r="G98" i="4" s="1"/>
  <c r="H25" i="4"/>
  <c r="F98" i="4" s="1"/>
  <c r="C29" i="2"/>
  <c r="B29" i="2"/>
  <c r="J26" i="4" l="1"/>
  <c r="H99" i="4" s="1"/>
  <c r="I26" i="4"/>
  <c r="G99" i="4" s="1"/>
  <c r="H26" i="4"/>
  <c r="F99" i="4" s="1"/>
  <c r="G27" i="4"/>
  <c r="E100" i="4" s="1"/>
  <c r="D28" i="4"/>
  <c r="B30" i="2"/>
  <c r="C30" i="2"/>
  <c r="D29" i="4" l="1"/>
  <c r="G28" i="4"/>
  <c r="E101" i="4" s="1"/>
  <c r="H27" i="4"/>
  <c r="F100" i="4" s="1"/>
  <c r="J27" i="4"/>
  <c r="H100" i="4" s="1"/>
  <c r="I27" i="4"/>
  <c r="G100" i="4" s="1"/>
  <c r="B31" i="2"/>
  <c r="C31" i="2"/>
  <c r="J28" i="4" l="1"/>
  <c r="H101" i="4" s="1"/>
  <c r="I28" i="4"/>
  <c r="G101" i="4" s="1"/>
  <c r="H28" i="4"/>
  <c r="F101" i="4" s="1"/>
  <c r="G29" i="4"/>
  <c r="E102" i="4" s="1"/>
  <c r="D30" i="4"/>
  <c r="B32" i="2"/>
  <c r="C32" i="2"/>
  <c r="G30" i="4" l="1"/>
  <c r="E103" i="4" s="1"/>
  <c r="D31" i="4"/>
  <c r="H29" i="4"/>
  <c r="F102" i="4" s="1"/>
  <c r="J29" i="4"/>
  <c r="H102" i="4" s="1"/>
  <c r="I29" i="4"/>
  <c r="G102" i="4" s="1"/>
  <c r="C33" i="2"/>
  <c r="B33" i="2"/>
  <c r="D32" i="4" l="1"/>
  <c r="G31" i="4"/>
  <c r="E104" i="4" s="1"/>
  <c r="J30" i="4"/>
  <c r="H103" i="4" s="1"/>
  <c r="I30" i="4"/>
  <c r="G103" i="4" s="1"/>
  <c r="H30" i="4"/>
  <c r="F103" i="4" s="1"/>
  <c r="B34" i="2"/>
  <c r="C34" i="2"/>
  <c r="J31" i="4" l="1"/>
  <c r="H104" i="4" s="1"/>
  <c r="I31" i="4"/>
  <c r="G104" i="4" s="1"/>
  <c r="H31" i="4"/>
  <c r="F104" i="4" s="1"/>
  <c r="G32" i="4"/>
  <c r="E105" i="4" s="1"/>
  <c r="D33" i="4"/>
  <c r="C35" i="2"/>
  <c r="B35" i="2"/>
  <c r="D34" i="4" l="1"/>
  <c r="G33" i="4"/>
  <c r="E106" i="4" s="1"/>
  <c r="I32" i="4"/>
  <c r="G105" i="4" s="1"/>
  <c r="H32" i="4"/>
  <c r="F105" i="4" s="1"/>
  <c r="J32" i="4"/>
  <c r="H105" i="4" s="1"/>
  <c r="B36" i="2"/>
  <c r="C36" i="2"/>
  <c r="J33" i="4" l="1"/>
  <c r="H106" i="4" s="1"/>
  <c r="I33" i="4"/>
  <c r="G106" i="4" s="1"/>
  <c r="H33" i="4"/>
  <c r="F106" i="4" s="1"/>
  <c r="G34" i="4"/>
  <c r="E107" i="4" s="1"/>
  <c r="D35" i="4"/>
  <c r="C37" i="2"/>
  <c r="B37" i="2"/>
  <c r="D36" i="4" l="1"/>
  <c r="G35" i="4"/>
  <c r="E108" i="4" s="1"/>
  <c r="I34" i="4"/>
  <c r="G107" i="4" s="1"/>
  <c r="J34" i="4"/>
  <c r="H107" i="4" s="1"/>
  <c r="H34" i="4"/>
  <c r="F107" i="4" s="1"/>
  <c r="B38" i="2"/>
  <c r="C38" i="2"/>
  <c r="J35" i="4" l="1"/>
  <c r="H108" i="4" s="1"/>
  <c r="I35" i="4"/>
  <c r="G108" i="4" s="1"/>
  <c r="H35" i="4"/>
  <c r="F108" i="4" s="1"/>
  <c r="D37" i="4"/>
  <c r="G36" i="4"/>
  <c r="E109" i="4" s="1"/>
  <c r="C39" i="2"/>
  <c r="B39" i="2"/>
  <c r="D38" i="4" l="1"/>
  <c r="G37" i="4"/>
  <c r="E110" i="4" s="1"/>
  <c r="J36" i="4"/>
  <c r="H109" i="4" s="1"/>
  <c r="I36" i="4"/>
  <c r="G109" i="4" s="1"/>
  <c r="H36" i="4"/>
  <c r="F109" i="4" s="1"/>
  <c r="B40" i="2"/>
  <c r="C40" i="2"/>
  <c r="J37" i="4" l="1"/>
  <c r="H110" i="4" s="1"/>
  <c r="I37" i="4"/>
  <c r="G110" i="4" s="1"/>
  <c r="H37" i="4"/>
  <c r="F110" i="4" s="1"/>
  <c r="D39" i="4"/>
  <c r="G38" i="4"/>
  <c r="E111" i="4" s="1"/>
  <c r="C41" i="2"/>
  <c r="B41" i="2"/>
  <c r="G39" i="4" l="1"/>
  <c r="E112" i="4" s="1"/>
  <c r="D40" i="4"/>
  <c r="J38" i="4"/>
  <c r="H111" i="4" s="1"/>
  <c r="I38" i="4"/>
  <c r="G111" i="4" s="1"/>
  <c r="H38" i="4"/>
  <c r="F111" i="4" s="1"/>
  <c r="B42" i="2"/>
  <c r="C42" i="2"/>
  <c r="D41" i="4" l="1"/>
  <c r="G40" i="4"/>
  <c r="E113" i="4" s="1"/>
  <c r="H39" i="4"/>
  <c r="F112" i="4" s="1"/>
  <c r="J39" i="4"/>
  <c r="H112" i="4" s="1"/>
  <c r="I39" i="4"/>
  <c r="G112" i="4" s="1"/>
  <c r="C43" i="2"/>
  <c r="B43" i="2"/>
  <c r="J40" i="4" l="1"/>
  <c r="H113" i="4" s="1"/>
  <c r="I40" i="4"/>
  <c r="G113" i="4" s="1"/>
  <c r="H40" i="4"/>
  <c r="F113" i="4" s="1"/>
  <c r="D42" i="4"/>
  <c r="G41" i="4"/>
  <c r="E114" i="4" s="1"/>
  <c r="B44" i="2"/>
  <c r="C44" i="2"/>
  <c r="J41" i="4" l="1"/>
  <c r="H114" i="4" s="1"/>
  <c r="I41" i="4"/>
  <c r="G114" i="4" s="1"/>
  <c r="H41" i="4"/>
  <c r="F114" i="4" s="1"/>
  <c r="G42" i="4"/>
  <c r="E115" i="4" s="1"/>
  <c r="D43" i="4"/>
  <c r="B45" i="2"/>
  <c r="C45" i="2"/>
  <c r="D44" i="4" l="1"/>
  <c r="G43" i="4"/>
  <c r="E116" i="4" s="1"/>
  <c r="J42" i="4"/>
  <c r="H115" i="4" s="1"/>
  <c r="I42" i="4"/>
  <c r="G115" i="4" s="1"/>
  <c r="H42" i="4"/>
  <c r="F115" i="4" s="1"/>
  <c r="C46" i="2"/>
  <c r="B46" i="2"/>
  <c r="G44" i="4" l="1"/>
  <c r="E117" i="4" s="1"/>
  <c r="D45" i="4"/>
  <c r="J43" i="4"/>
  <c r="H116" i="4" s="1"/>
  <c r="I43" i="4"/>
  <c r="G116" i="4" s="1"/>
  <c r="H43" i="4"/>
  <c r="F116" i="4" s="1"/>
  <c r="C47" i="2"/>
  <c r="B47" i="2"/>
  <c r="D46" i="4" l="1"/>
  <c r="G45" i="4"/>
  <c r="E118" i="4" s="1"/>
  <c r="I44" i="4"/>
  <c r="G117" i="4" s="1"/>
  <c r="H44" i="4"/>
  <c r="F117" i="4" s="1"/>
  <c r="J44" i="4"/>
  <c r="H117" i="4" s="1"/>
  <c r="B48" i="2"/>
  <c r="C48" i="2"/>
  <c r="J45" i="4" l="1"/>
  <c r="H118" i="4" s="1"/>
  <c r="I45" i="4"/>
  <c r="G118" i="4" s="1"/>
  <c r="H45" i="4"/>
  <c r="F118" i="4" s="1"/>
  <c r="G46" i="4"/>
  <c r="E119" i="4" s="1"/>
  <c r="D47" i="4"/>
  <c r="B49" i="2"/>
  <c r="C49" i="2"/>
  <c r="I46" i="4" l="1"/>
  <c r="G119" i="4" s="1"/>
  <c r="J46" i="4"/>
  <c r="H119" i="4" s="1"/>
  <c r="H46" i="4"/>
  <c r="F119" i="4" s="1"/>
  <c r="D48" i="4"/>
  <c r="G47" i="4"/>
  <c r="E120" i="4" s="1"/>
  <c r="C50" i="2"/>
  <c r="B50" i="2"/>
  <c r="D49" i="4" l="1"/>
  <c r="G48" i="4"/>
  <c r="E121" i="4" s="1"/>
  <c r="J47" i="4"/>
  <c r="H120" i="4" s="1"/>
  <c r="I47" i="4"/>
  <c r="G120" i="4" s="1"/>
  <c r="H47" i="4"/>
  <c r="F120" i="4" s="1"/>
  <c r="C51" i="2"/>
  <c r="B51" i="2"/>
  <c r="J48" i="4" l="1"/>
  <c r="H121" i="4" s="1"/>
  <c r="I48" i="4"/>
  <c r="G121" i="4" s="1"/>
  <c r="H48" i="4"/>
  <c r="F121" i="4" s="1"/>
  <c r="D50" i="4"/>
  <c r="G49" i="4"/>
  <c r="E122" i="4" s="1"/>
  <c r="B52" i="2"/>
  <c r="C52" i="2"/>
  <c r="D51" i="4" l="1"/>
  <c r="G50" i="4"/>
  <c r="E123" i="4" s="1"/>
  <c r="J49" i="4"/>
  <c r="H122" i="4" s="1"/>
  <c r="I49" i="4"/>
  <c r="G122" i="4" s="1"/>
  <c r="H49" i="4"/>
  <c r="F122" i="4" s="1"/>
  <c r="B53" i="2"/>
  <c r="C53" i="2"/>
  <c r="J50" i="4" l="1"/>
  <c r="H123" i="4" s="1"/>
  <c r="I50" i="4"/>
  <c r="G123" i="4" s="1"/>
  <c r="H50" i="4"/>
  <c r="F123" i="4" s="1"/>
  <c r="G51" i="4"/>
  <c r="E124" i="4" s="1"/>
  <c r="D52" i="4"/>
  <c r="B54" i="2"/>
  <c r="C54" i="2"/>
  <c r="D53" i="4" l="1"/>
  <c r="G52" i="4"/>
  <c r="E125" i="4" s="1"/>
  <c r="H51" i="4"/>
  <c r="F124" i="4" s="1"/>
  <c r="J51" i="4"/>
  <c r="H124" i="4" s="1"/>
  <c r="I51" i="4"/>
  <c r="G124" i="4" s="1"/>
  <c r="B55" i="2"/>
  <c r="C55" i="2"/>
  <c r="J52" i="4" l="1"/>
  <c r="H125" i="4" s="1"/>
  <c r="I52" i="4"/>
  <c r="G125" i="4" s="1"/>
  <c r="H52" i="4"/>
  <c r="F125" i="4" s="1"/>
  <c r="G53" i="4"/>
  <c r="E126" i="4" s="1"/>
  <c r="D54" i="4"/>
  <c r="C56" i="2"/>
  <c r="B56" i="2"/>
  <c r="H53" i="4" l="1"/>
  <c r="F126" i="4" s="1"/>
  <c r="J53" i="4"/>
  <c r="H126" i="4" s="1"/>
  <c r="I53" i="4"/>
  <c r="G126" i="4" s="1"/>
  <c r="D55" i="4"/>
  <c r="G54" i="4"/>
  <c r="E127" i="4" s="1"/>
  <c r="B57" i="2"/>
  <c r="C57" i="2"/>
  <c r="D56" i="4" l="1"/>
  <c r="G55" i="4"/>
  <c r="E128" i="4" s="1"/>
  <c r="J54" i="4"/>
  <c r="H127" i="4" s="1"/>
  <c r="I54" i="4"/>
  <c r="G127" i="4" s="1"/>
  <c r="H54" i="4"/>
  <c r="F127" i="4" s="1"/>
  <c r="C58" i="2"/>
  <c r="B58" i="2"/>
  <c r="G56" i="4" l="1"/>
  <c r="E129" i="4" s="1"/>
  <c r="D57" i="4"/>
  <c r="J55" i="4"/>
  <c r="H128" i="4" s="1"/>
  <c r="I55" i="4"/>
  <c r="G128" i="4" s="1"/>
  <c r="H55" i="4"/>
  <c r="F128" i="4" s="1"/>
  <c r="B59" i="2"/>
  <c r="C59" i="2"/>
  <c r="I56" i="4" l="1"/>
  <c r="G129" i="4" s="1"/>
  <c r="H56" i="4"/>
  <c r="F129" i="4" s="1"/>
  <c r="J56" i="4"/>
  <c r="H129" i="4" s="1"/>
  <c r="D58" i="4"/>
  <c r="G57" i="4"/>
  <c r="E130" i="4" s="1"/>
  <c r="C60" i="2"/>
  <c r="B60" i="2"/>
  <c r="G58" i="4" l="1"/>
  <c r="E131" i="4" s="1"/>
  <c r="D59" i="4"/>
  <c r="J57" i="4"/>
  <c r="H130" i="4" s="1"/>
  <c r="I57" i="4"/>
  <c r="G130" i="4" s="1"/>
  <c r="H57" i="4"/>
  <c r="F130" i="4" s="1"/>
  <c r="B61" i="2"/>
  <c r="C61" i="2"/>
  <c r="I58" i="4" l="1"/>
  <c r="G131" i="4" s="1"/>
  <c r="H58" i="4"/>
  <c r="F131" i="4" s="1"/>
  <c r="J58" i="4"/>
  <c r="H131" i="4" s="1"/>
  <c r="D60" i="4"/>
  <c r="G59" i="4"/>
  <c r="E132" i="4" s="1"/>
  <c r="C62" i="2"/>
  <c r="B62" i="2"/>
  <c r="D61" i="4" l="1"/>
  <c r="G60" i="4"/>
  <c r="E133" i="4" s="1"/>
  <c r="J59" i="4"/>
  <c r="H132" i="4" s="1"/>
  <c r="I59" i="4"/>
  <c r="G132" i="4" s="1"/>
  <c r="H59" i="4"/>
  <c r="F132" i="4" s="1"/>
  <c r="B63" i="2"/>
  <c r="C63" i="2"/>
  <c r="J60" i="4" l="1"/>
  <c r="H133" i="4" s="1"/>
  <c r="I60" i="4"/>
  <c r="G133" i="4" s="1"/>
  <c r="H60" i="4"/>
  <c r="F133" i="4" s="1"/>
  <c r="D62" i="4"/>
  <c r="G61" i="4"/>
  <c r="E134" i="4" s="1"/>
  <c r="C64" i="2"/>
  <c r="B64" i="2"/>
  <c r="D63" i="4" l="1"/>
  <c r="G62" i="4"/>
  <c r="E135" i="4" s="1"/>
  <c r="J61" i="4"/>
  <c r="H134" i="4" s="1"/>
  <c r="I61" i="4"/>
  <c r="G134" i="4" s="1"/>
  <c r="H61" i="4"/>
  <c r="F134" i="4" s="1"/>
  <c r="B65" i="2"/>
  <c r="C65" i="2"/>
  <c r="J62" i="4" l="1"/>
  <c r="H135" i="4" s="1"/>
  <c r="I62" i="4"/>
  <c r="G135" i="4" s="1"/>
  <c r="H62" i="4"/>
  <c r="F135" i="4" s="1"/>
  <c r="G63" i="4"/>
  <c r="E136" i="4" s="1"/>
  <c r="D64" i="4"/>
  <c r="B66" i="2"/>
  <c r="C66" i="2"/>
  <c r="H63" i="4" l="1"/>
  <c r="F136" i="4" s="1"/>
  <c r="J63" i="4"/>
  <c r="H136" i="4" s="1"/>
  <c r="I63" i="4"/>
  <c r="G136" i="4" s="1"/>
  <c r="D65" i="4"/>
  <c r="G64" i="4"/>
  <c r="E137" i="4" s="1"/>
  <c r="B67" i="2"/>
  <c r="C67" i="2"/>
  <c r="G65" i="4" l="1"/>
  <c r="E138" i="4" s="1"/>
  <c r="D66" i="4"/>
  <c r="J64" i="4"/>
  <c r="H137" i="4" s="1"/>
  <c r="I64" i="4"/>
  <c r="G137" i="4" s="1"/>
  <c r="H64" i="4"/>
  <c r="F137" i="4" s="1"/>
  <c r="C68" i="2"/>
  <c r="B68" i="2"/>
  <c r="G66" i="4" l="1"/>
  <c r="E139" i="4" s="1"/>
  <c r="D67" i="4"/>
  <c r="H65" i="4"/>
  <c r="F138" i="4" s="1"/>
  <c r="J65" i="4"/>
  <c r="H138" i="4" s="1"/>
  <c r="I65" i="4"/>
  <c r="G138" i="4" s="1"/>
  <c r="B69" i="2"/>
  <c r="C69" i="2"/>
  <c r="D68" i="4" l="1"/>
  <c r="G67" i="4"/>
  <c r="E140" i="4" s="1"/>
  <c r="J66" i="4"/>
  <c r="H139" i="4" s="1"/>
  <c r="I66" i="4"/>
  <c r="G139" i="4" s="1"/>
  <c r="H66" i="4"/>
  <c r="F139" i="4" s="1"/>
  <c r="C70" i="2"/>
  <c r="B70" i="2"/>
  <c r="J67" i="4" l="1"/>
  <c r="H140" i="4" s="1"/>
  <c r="I67" i="4"/>
  <c r="G140" i="4" s="1"/>
  <c r="H67" i="4"/>
  <c r="F140" i="4" s="1"/>
  <c r="G68" i="4"/>
  <c r="E141" i="4" s="1"/>
  <c r="D69" i="4"/>
  <c r="C71" i="2"/>
  <c r="B71" i="2"/>
  <c r="I68" i="4" l="1"/>
  <c r="G141" i="4" s="1"/>
  <c r="H68" i="4"/>
  <c r="F141" i="4" s="1"/>
  <c r="J68" i="4"/>
  <c r="H141" i="4" s="1"/>
  <c r="D70" i="4"/>
  <c r="G69" i="4"/>
  <c r="E142" i="4" s="1"/>
  <c r="G70" i="4" l="1"/>
  <c r="E143" i="4" s="1"/>
  <c r="D71" i="4"/>
  <c r="J69" i="4"/>
  <c r="H142" i="4" s="1"/>
  <c r="I69" i="4"/>
  <c r="G142" i="4" s="1"/>
  <c r="H69" i="4"/>
  <c r="F142" i="4" s="1"/>
  <c r="J70" i="4" l="1"/>
  <c r="H143" i="4" s="1"/>
  <c r="I70" i="4"/>
  <c r="G143" i="4" s="1"/>
  <c r="H70" i="4"/>
  <c r="F143" i="4" s="1"/>
  <c r="G71" i="4"/>
  <c r="E144" i="4" s="1"/>
  <c r="J71" i="4" l="1"/>
  <c r="H144" i="4" s="1"/>
  <c r="I71" i="4"/>
  <c r="G144" i="4" s="1"/>
  <c r="H71" i="4"/>
  <c r="F144" i="4" s="1"/>
</calcChain>
</file>

<file path=xl/sharedStrings.xml><?xml version="1.0" encoding="utf-8"?>
<sst xmlns="http://schemas.openxmlformats.org/spreadsheetml/2006/main" count="91" uniqueCount="56">
  <si>
    <t>攻击</t>
  </si>
  <si>
    <t>血量</t>
  </si>
  <si>
    <t>人物属性</t>
  </si>
  <si>
    <t>基础属性</t>
  </si>
  <si>
    <t>物理防御</t>
  </si>
  <si>
    <t>魔法防御</t>
  </si>
  <si>
    <t>属性占比</t>
  </si>
  <si>
    <t>血量占比</t>
  </si>
  <si>
    <t>血量最大值</t>
  </si>
  <si>
    <t>攻击最大值</t>
  </si>
  <si>
    <t>防御最大值</t>
  </si>
  <si>
    <t>升级属性</t>
  </si>
  <si>
    <t>普通</t>
  </si>
  <si>
    <t>技能</t>
  </si>
  <si>
    <t>装备属性</t>
  </si>
  <si>
    <t>期待回合数</t>
  </si>
  <si>
    <t>验证回合数</t>
  </si>
  <si>
    <t>总属性</t>
  </si>
  <si>
    <t>总数回合</t>
    <phoneticPr fontId="1" type="noConversion"/>
  </si>
  <si>
    <t>等级</t>
  </si>
  <si>
    <t>血量系数</t>
  </si>
  <si>
    <t>属性系数</t>
  </si>
  <si>
    <t>物防</t>
  </si>
  <si>
    <t>魔防</t>
  </si>
  <si>
    <t>装备等级</t>
  </si>
  <si>
    <t>系数</t>
  </si>
  <si>
    <t>最大攻击</t>
  </si>
  <si>
    <t>最大物防</t>
  </si>
  <si>
    <t>最小魔防</t>
  </si>
  <si>
    <t>属性均衡系数</t>
  </si>
  <si>
    <t>布甲</t>
  </si>
  <si>
    <t>轻甲</t>
  </si>
  <si>
    <t>重甲</t>
  </si>
  <si>
    <t>品质</t>
  </si>
  <si>
    <t>累计总合</t>
  </si>
  <si>
    <t>头盔</t>
    <phoneticPr fontId="1" type="noConversion"/>
  </si>
  <si>
    <t>武器</t>
    <phoneticPr fontId="1" type="noConversion"/>
  </si>
  <si>
    <t>衣服</t>
    <phoneticPr fontId="1" type="noConversion"/>
  </si>
  <si>
    <t>项链</t>
    <phoneticPr fontId="1" type="noConversion"/>
  </si>
  <si>
    <t>戒指</t>
    <phoneticPr fontId="1" type="noConversion"/>
  </si>
  <si>
    <t>鞋子</t>
    <phoneticPr fontId="1" type="noConversion"/>
  </si>
  <si>
    <t>蓝色</t>
    <phoneticPr fontId="1" type="noConversion"/>
  </si>
  <si>
    <t>绿色</t>
    <phoneticPr fontId="1" type="noConversion"/>
  </si>
  <si>
    <t>紫色</t>
    <phoneticPr fontId="1" type="noConversion"/>
  </si>
  <si>
    <t>橙色</t>
    <phoneticPr fontId="1" type="noConversion"/>
  </si>
  <si>
    <t>护甲类型</t>
    <phoneticPr fontId="1" type="noConversion"/>
  </si>
  <si>
    <t>基础装备属性</t>
    <phoneticPr fontId="1" type="noConversion"/>
  </si>
  <si>
    <t>品质系数</t>
    <phoneticPr fontId="1" type="noConversion"/>
  </si>
  <si>
    <t>索引系数</t>
  </si>
  <si>
    <t>怪物等级</t>
  </si>
  <si>
    <t>递增系数</t>
  </si>
  <si>
    <t>BOSS血量系数</t>
  </si>
  <si>
    <t>BOSS属性系数</t>
  </si>
  <si>
    <t>递增系数</t>
    <phoneticPr fontId="1" type="noConversion"/>
  </si>
  <si>
    <t>等级</t>
    <phoneticPr fontId="1" type="noConversion"/>
  </si>
  <si>
    <t>系数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</si>
</sst>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0" tint="-0.499984740745262"/>
      <name val="微软雅黑"/>
      <family val="2"/>
      <charset val="134"/>
    </font>
    <font>
      <b/>
      <sz val="10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10"/>
      <color theme="1"/>
      <name val="微软雅黑"/>
      <family val="2"/>
      <charset val="134"/>
    </font>
    <font>
      <sz val="10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sz val="10"/>
      <color theme="1"/>
      <name val="等线"/>
      <family val="2"/>
      <scheme val="minor"/>
    </font>
    <font>
      <b/>
      <sz val="1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0" fillId="0" borderId="0"/>
  </cellStyleXfs>
  <cellXfs count="21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1" fillId="0" borderId="0" xfId="0" applyFont="1"/>
  </cellXfs>
  <cellStyles count="2">
    <cellStyle name="常规" xfId="0" builtinId="0"/>
    <cellStyle name="常规 6" xfId="1" xr:uid="{327CB742-7768-43BC-A187-5BF94E26DC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\GitWeiJing\WeiJingShuZhi\&#23646;&#24615;&#34920;%20-%20&#21103;&#26412;.xlsx" TargetMode="External"/><Relationship Id="rId1" Type="http://schemas.openxmlformats.org/officeDocument/2006/relationships/externalLinkPath" Target="/GitWeiJing/WeiJingShuZhi/&#23646;&#24615;&#34920;%20-%20&#21103;&#2641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总表"/>
      <sheetName val="等级属性"/>
      <sheetName val="活力属性"/>
      <sheetName val="技能"/>
      <sheetName val="赛季"/>
      <sheetName val="装备洗练"/>
      <sheetName val="装备属性"/>
      <sheetName val="特殊装备"/>
      <sheetName val="觉醒"/>
      <sheetName val="增幅属性"/>
      <sheetName val="收集"/>
      <sheetName val="精灵"/>
      <sheetName val="属性列表"/>
      <sheetName val="宝石"/>
      <sheetName val="宠物"/>
      <sheetName val="宠物属性"/>
      <sheetName val="宠物装备"/>
      <sheetName val="宠物爬塔"/>
      <sheetName val="宠物之核"/>
      <sheetName val="装备"/>
      <sheetName val="怪物属性"/>
      <sheetName val="boss技能"/>
      <sheetName val="称号"/>
      <sheetName val="生命之盾"/>
    </sheetNames>
    <sheetDataSet>
      <sheetData sheetId="0">
        <row r="4">
          <cell r="D4">
            <v>1050</v>
          </cell>
          <cell r="E4">
            <v>100</v>
          </cell>
          <cell r="F4">
            <v>30</v>
          </cell>
          <cell r="G4">
            <v>30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W70"/>
  <sheetViews>
    <sheetView tabSelected="1" workbookViewId="0">
      <selection activeCell="G12" sqref="G12"/>
    </sheetView>
  </sheetViews>
  <sheetFormatPr defaultColWidth="9" defaultRowHeight="16.5" x14ac:dyDescent="0.3"/>
  <cols>
    <col min="1" max="2" width="9" style="1"/>
    <col min="3" max="3" width="10.25" style="1" customWidth="1"/>
    <col min="4" max="15" width="9" style="1"/>
    <col min="16" max="16" width="11.25" style="1" customWidth="1"/>
    <col min="17" max="16384" width="9" style="1"/>
  </cols>
  <sheetData>
    <row r="1" spans="2:23" ht="20.100000000000001" customHeight="1" x14ac:dyDescent="0.3"/>
    <row r="2" spans="2:23" ht="20.100000000000001" customHeight="1" x14ac:dyDescent="0.3"/>
    <row r="3" spans="2:23" ht="20.100000000000001" customHeight="1" x14ac:dyDescent="0.35">
      <c r="B3" s="3"/>
      <c r="C3" s="13" t="s">
        <v>3</v>
      </c>
      <c r="D3" s="8" t="s">
        <v>1</v>
      </c>
      <c r="E3" s="8" t="s">
        <v>0</v>
      </c>
      <c r="F3" s="8" t="s">
        <v>4</v>
      </c>
      <c r="G3" s="8" t="s">
        <v>5</v>
      </c>
      <c r="H3" s="3"/>
      <c r="I3" s="3"/>
      <c r="J3" s="18" t="s">
        <v>2</v>
      </c>
      <c r="K3" s="8" t="s">
        <v>6</v>
      </c>
      <c r="L3" s="8" t="s">
        <v>7</v>
      </c>
      <c r="M3" s="8" t="s">
        <v>8</v>
      </c>
      <c r="N3" s="8" t="s">
        <v>9</v>
      </c>
      <c r="O3" s="8" t="s">
        <v>10</v>
      </c>
      <c r="P3" s="3"/>
      <c r="Q3" s="3"/>
      <c r="R3" s="4"/>
      <c r="S3" s="4"/>
      <c r="T3" s="4"/>
      <c r="U3" s="4"/>
      <c r="V3" s="4"/>
      <c r="W3" s="4"/>
    </row>
    <row r="4" spans="2:23" ht="20.100000000000001" customHeight="1" x14ac:dyDescent="0.35">
      <c r="B4" s="4"/>
      <c r="C4" s="14"/>
      <c r="D4" s="8">
        <f>(E4-F4)*D7</f>
        <v>1400</v>
      </c>
      <c r="E4" s="8">
        <v>100</v>
      </c>
      <c r="F4" s="8">
        <v>30</v>
      </c>
      <c r="G4" s="8">
        <v>30</v>
      </c>
      <c r="H4" s="3"/>
      <c r="I4" s="3"/>
      <c r="J4" s="8" t="s">
        <v>3</v>
      </c>
      <c r="K4" s="8">
        <v>5</v>
      </c>
      <c r="L4" s="8">
        <v>5</v>
      </c>
      <c r="M4" s="8">
        <f>L4*$D$4</f>
        <v>7000</v>
      </c>
      <c r="N4" s="8">
        <f>K4*$E$4</f>
        <v>500</v>
      </c>
      <c r="O4" s="8">
        <f>G4*K4</f>
        <v>150</v>
      </c>
      <c r="P4" s="3"/>
      <c r="Q4" s="3"/>
      <c r="R4" s="4"/>
      <c r="S4" s="4"/>
      <c r="T4" s="4"/>
      <c r="U4" s="4"/>
      <c r="V4" s="4"/>
      <c r="W4" s="4"/>
    </row>
    <row r="5" spans="2:23" ht="20.100000000000001" customHeight="1" x14ac:dyDescent="0.35">
      <c r="B5" s="3"/>
      <c r="C5" s="4"/>
      <c r="D5" s="4"/>
      <c r="E5" s="4"/>
      <c r="F5" s="4"/>
      <c r="G5" s="4"/>
      <c r="H5" s="4"/>
      <c r="I5" s="4"/>
      <c r="J5" s="19" t="s">
        <v>11</v>
      </c>
      <c r="K5" s="19">
        <v>10</v>
      </c>
      <c r="L5" s="19">
        <v>20</v>
      </c>
      <c r="M5" s="19">
        <f>L5*$D$4</f>
        <v>28000</v>
      </c>
      <c r="N5" s="19">
        <f t="shared" ref="N5:N7" si="0">K5*$E$4</f>
        <v>1000</v>
      </c>
      <c r="O5" s="19">
        <f>G4*K5</f>
        <v>300</v>
      </c>
      <c r="P5" s="3"/>
      <c r="Q5" s="3"/>
      <c r="R5" s="4"/>
      <c r="S5" s="4"/>
      <c r="T5" s="4"/>
      <c r="U5" s="4"/>
      <c r="V5" s="4"/>
      <c r="W5" s="4"/>
    </row>
    <row r="6" spans="2:23" ht="20.100000000000001" customHeight="1" x14ac:dyDescent="0.35">
      <c r="B6" s="3"/>
      <c r="C6" s="13" t="s">
        <v>15</v>
      </c>
      <c r="D6" s="9" t="s">
        <v>18</v>
      </c>
      <c r="E6" s="8" t="s">
        <v>12</v>
      </c>
      <c r="F6" s="8" t="s">
        <v>13</v>
      </c>
      <c r="G6" s="4"/>
      <c r="H6" s="4"/>
      <c r="I6" s="4"/>
      <c r="J6" s="19" t="s">
        <v>14</v>
      </c>
      <c r="K6" s="19">
        <v>40</v>
      </c>
      <c r="L6" s="19">
        <v>30</v>
      </c>
      <c r="M6" s="19">
        <f>L6*$D$4</f>
        <v>42000</v>
      </c>
      <c r="N6" s="19">
        <f t="shared" si="0"/>
        <v>4000</v>
      </c>
      <c r="O6" s="19">
        <f>$G$4*K6</f>
        <v>1200</v>
      </c>
      <c r="P6" s="3"/>
      <c r="Q6" s="3"/>
      <c r="R6" s="4"/>
      <c r="S6" s="4"/>
      <c r="T6" s="4"/>
      <c r="U6" s="4"/>
      <c r="V6" s="4"/>
      <c r="W6" s="4"/>
    </row>
    <row r="7" spans="2:23" ht="20.100000000000001" customHeight="1" x14ac:dyDescent="0.35">
      <c r="B7" s="3"/>
      <c r="C7" s="14"/>
      <c r="D7" s="8">
        <f>E7+F7</f>
        <v>20</v>
      </c>
      <c r="E7" s="8">
        <v>12</v>
      </c>
      <c r="F7" s="8">
        <v>8</v>
      </c>
      <c r="G7" s="4"/>
      <c r="H7" s="4"/>
      <c r="I7" s="4"/>
      <c r="J7" s="7"/>
      <c r="K7" s="7"/>
      <c r="L7" s="7"/>
      <c r="M7" s="7"/>
      <c r="N7" s="7"/>
      <c r="O7" s="7"/>
      <c r="P7" s="3"/>
      <c r="Q7" s="3"/>
      <c r="R7" s="3"/>
      <c r="S7" s="3"/>
      <c r="T7" s="3"/>
      <c r="U7" s="3"/>
      <c r="V7" s="3"/>
      <c r="W7" s="3"/>
    </row>
    <row r="8" spans="2:23" ht="20.100000000000001" customHeight="1" x14ac:dyDescent="0.35">
      <c r="B8" s="3"/>
      <c r="C8" s="3"/>
      <c r="D8" s="3"/>
      <c r="E8" s="3"/>
      <c r="F8" s="3"/>
      <c r="G8" s="4"/>
      <c r="H8" s="4"/>
      <c r="I8" s="4"/>
      <c r="J8" s="8" t="s">
        <v>17</v>
      </c>
      <c r="K8" s="8">
        <f t="shared" ref="K8:M10" si="1">SUM(K$4:K$7)</f>
        <v>55</v>
      </c>
      <c r="L8" s="8">
        <f t="shared" si="1"/>
        <v>55</v>
      </c>
      <c r="M8" s="8">
        <f t="shared" si="1"/>
        <v>77000</v>
      </c>
      <c r="N8" s="8">
        <f t="shared" ref="N8:O10" si="2">SUM(N$4:N$7)</f>
        <v>5500</v>
      </c>
      <c r="O8" s="8">
        <f t="shared" si="2"/>
        <v>1650</v>
      </c>
      <c r="P8" s="8" t="s">
        <v>16</v>
      </c>
      <c r="Q8" s="8">
        <f>M8/(N8-O8)</f>
        <v>20</v>
      </c>
      <c r="R8" s="3"/>
      <c r="S8" s="3"/>
      <c r="T8" s="3"/>
      <c r="U8" s="4"/>
      <c r="V8" s="4"/>
      <c r="W8" s="4"/>
    </row>
    <row r="9" spans="2:23" ht="20.100000000000001" customHeight="1" x14ac:dyDescent="0.35">
      <c r="B9" s="3"/>
      <c r="C9" s="3"/>
      <c r="D9" s="3"/>
      <c r="E9" s="3"/>
      <c r="F9" s="3"/>
      <c r="G9" s="3"/>
      <c r="H9" s="3"/>
      <c r="I9" s="3"/>
      <c r="Q9" s="3"/>
      <c r="R9" s="3"/>
      <c r="S9" s="3"/>
      <c r="T9" s="3"/>
      <c r="U9" s="3"/>
      <c r="V9" s="3"/>
      <c r="W9" s="3"/>
    </row>
    <row r="10" spans="2:23" ht="20.100000000000001" customHeight="1" x14ac:dyDescent="0.35">
      <c r="B10" s="5"/>
      <c r="C10" s="5"/>
      <c r="D10" s="5"/>
      <c r="E10" s="5"/>
      <c r="F10" s="5"/>
      <c r="G10" s="4"/>
      <c r="H10" s="3"/>
      <c r="I10" s="3"/>
      <c r="R10" s="3"/>
      <c r="S10" s="3"/>
      <c r="T10" s="3"/>
      <c r="U10" s="3"/>
      <c r="V10" s="3"/>
      <c r="W10" s="3"/>
    </row>
    <row r="11" spans="2:23" ht="20.100000000000001" customHeight="1" x14ac:dyDescent="0.35">
      <c r="B11" s="5"/>
      <c r="C11" s="4"/>
      <c r="D11" s="5"/>
      <c r="E11" s="5"/>
      <c r="F11" s="5"/>
      <c r="G11" s="5"/>
      <c r="H11" s="4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2:23" ht="20.100000000000001" customHeight="1" x14ac:dyDescent="0.3"/>
    <row r="13" spans="2:23" ht="20.100000000000001" customHeight="1" x14ac:dyDescent="0.3"/>
    <row r="14" spans="2:23" ht="20.100000000000001" customHeight="1" x14ac:dyDescent="0.3">
      <c r="J14" s="2"/>
    </row>
    <row r="15" spans="2:23" ht="20.100000000000001" customHeight="1" x14ac:dyDescent="0.3">
      <c r="J15" s="4"/>
      <c r="K15" s="4"/>
      <c r="L15" s="4"/>
      <c r="M15" s="4"/>
      <c r="N15" s="4"/>
      <c r="O15" s="4"/>
    </row>
    <row r="16" spans="2:23" ht="20.100000000000001" customHeight="1" x14ac:dyDescent="0.3">
      <c r="J16" s="4"/>
      <c r="K16" s="4"/>
      <c r="L16" s="4"/>
      <c r="M16" s="4"/>
      <c r="N16" s="4"/>
      <c r="O16" s="4"/>
    </row>
    <row r="17" spans="10:15" ht="20.100000000000001" customHeight="1" x14ac:dyDescent="0.3">
      <c r="J17" s="4"/>
      <c r="K17" s="6"/>
      <c r="L17" s="6"/>
      <c r="M17" s="4"/>
      <c r="N17" s="4"/>
      <c r="O17" s="4"/>
    </row>
    <row r="18" spans="10:15" ht="20.100000000000001" customHeight="1" x14ac:dyDescent="0.3">
      <c r="J18" s="4"/>
      <c r="K18" s="6"/>
      <c r="L18" s="6"/>
      <c r="M18" s="4"/>
      <c r="N18" s="4"/>
      <c r="O18" s="4"/>
    </row>
    <row r="19" spans="10:15" ht="20.100000000000001" customHeight="1" x14ac:dyDescent="0.3"/>
    <row r="20" spans="10:15" ht="20.100000000000001" customHeight="1" x14ac:dyDescent="0.3"/>
    <row r="21" spans="10:15" ht="20.100000000000001" customHeight="1" x14ac:dyDescent="0.3">
      <c r="J21" s="4"/>
      <c r="K21" s="4"/>
      <c r="L21" s="4"/>
      <c r="M21" s="4"/>
      <c r="N21" s="4"/>
      <c r="O21" s="4"/>
    </row>
    <row r="22" spans="10:15" ht="20.100000000000001" customHeight="1" x14ac:dyDescent="0.3"/>
    <row r="23" spans="10:15" ht="20.100000000000001" customHeight="1" x14ac:dyDescent="0.3"/>
    <row r="24" spans="10:15" ht="20.100000000000001" customHeight="1" x14ac:dyDescent="0.3"/>
    <row r="25" spans="10:15" ht="20.100000000000001" customHeight="1" x14ac:dyDescent="0.3"/>
    <row r="26" spans="10:15" ht="20.100000000000001" customHeight="1" x14ac:dyDescent="0.3"/>
    <row r="27" spans="10:15" ht="20.100000000000001" customHeight="1" x14ac:dyDescent="0.3"/>
    <row r="28" spans="10:15" ht="20.100000000000001" customHeight="1" x14ac:dyDescent="0.3"/>
    <row r="29" spans="10:15" ht="20.100000000000001" customHeight="1" x14ac:dyDescent="0.3"/>
    <row r="30" spans="10:15" ht="20.100000000000001" customHeight="1" x14ac:dyDescent="0.3"/>
    <row r="31" spans="10:15" ht="20.100000000000001" customHeight="1" x14ac:dyDescent="0.3"/>
    <row r="32" spans="10:15" ht="20.100000000000001" customHeight="1" x14ac:dyDescent="0.3"/>
    <row r="33" s="1" customFormat="1" ht="20.100000000000001" customHeight="1" x14ac:dyDescent="0.3"/>
    <row r="34" s="1" customFormat="1" ht="20.100000000000001" customHeight="1" x14ac:dyDescent="0.3"/>
    <row r="35" s="1" customFormat="1" ht="20.100000000000001" customHeight="1" x14ac:dyDescent="0.3"/>
    <row r="36" s="1" customFormat="1" ht="20.100000000000001" customHeight="1" x14ac:dyDescent="0.3"/>
    <row r="37" s="1" customFormat="1" ht="20.100000000000001" customHeight="1" x14ac:dyDescent="0.3"/>
    <row r="38" s="1" customFormat="1" ht="20.100000000000001" customHeight="1" x14ac:dyDescent="0.3"/>
    <row r="39" s="1" customFormat="1" ht="20.100000000000001" customHeight="1" x14ac:dyDescent="0.3"/>
    <row r="40" s="1" customFormat="1" ht="20.100000000000001" customHeight="1" x14ac:dyDescent="0.3"/>
    <row r="41" s="1" customFormat="1" ht="20.100000000000001" customHeight="1" x14ac:dyDescent="0.3"/>
    <row r="42" s="1" customFormat="1" ht="20.100000000000001" customHeight="1" x14ac:dyDescent="0.3"/>
    <row r="43" s="1" customFormat="1" ht="20.100000000000001" customHeight="1" x14ac:dyDescent="0.3"/>
    <row r="44" s="1" customFormat="1" ht="20.100000000000001" customHeight="1" x14ac:dyDescent="0.3"/>
    <row r="45" s="1" customFormat="1" ht="20.100000000000001" customHeight="1" x14ac:dyDescent="0.3"/>
    <row r="46" s="1" customFormat="1" ht="20.100000000000001" customHeight="1" x14ac:dyDescent="0.3"/>
    <row r="47" s="1" customFormat="1" ht="20.100000000000001" customHeight="1" x14ac:dyDescent="0.3"/>
    <row r="48" s="1" customFormat="1" ht="20.100000000000001" customHeight="1" x14ac:dyDescent="0.3"/>
    <row r="49" s="1" customFormat="1" ht="20.100000000000001" customHeight="1" x14ac:dyDescent="0.3"/>
    <row r="50" s="1" customFormat="1" ht="20.100000000000001" customHeight="1" x14ac:dyDescent="0.3"/>
    <row r="51" s="1" customFormat="1" ht="20.100000000000001" customHeight="1" x14ac:dyDescent="0.3"/>
    <row r="52" s="1" customFormat="1" ht="20.100000000000001" customHeight="1" x14ac:dyDescent="0.3"/>
    <row r="53" s="1" customFormat="1" ht="20.100000000000001" customHeight="1" x14ac:dyDescent="0.3"/>
    <row r="54" s="1" customFormat="1" ht="20.100000000000001" customHeight="1" x14ac:dyDescent="0.3"/>
    <row r="55" s="1" customFormat="1" ht="20.100000000000001" customHeight="1" x14ac:dyDescent="0.3"/>
    <row r="56" s="1" customFormat="1" ht="20.100000000000001" customHeight="1" x14ac:dyDescent="0.3"/>
    <row r="57" s="1" customFormat="1" ht="20.100000000000001" customHeight="1" x14ac:dyDescent="0.3"/>
    <row r="58" s="1" customFormat="1" ht="20.100000000000001" customHeight="1" x14ac:dyDescent="0.3"/>
    <row r="59" s="1" customFormat="1" ht="20.100000000000001" customHeight="1" x14ac:dyDescent="0.3"/>
    <row r="60" s="1" customFormat="1" ht="20.100000000000001" customHeight="1" x14ac:dyDescent="0.3"/>
    <row r="61" s="1" customFormat="1" ht="20.100000000000001" customHeight="1" x14ac:dyDescent="0.3"/>
    <row r="62" s="1" customFormat="1" ht="20.100000000000001" customHeight="1" x14ac:dyDescent="0.3"/>
    <row r="63" s="1" customFormat="1" ht="20.100000000000001" customHeight="1" x14ac:dyDescent="0.3"/>
    <row r="64" s="1" customFormat="1" ht="20.100000000000001" customHeight="1" x14ac:dyDescent="0.3"/>
    <row r="65" s="1" customFormat="1" ht="20.100000000000001" customHeight="1" x14ac:dyDescent="0.3"/>
    <row r="66" s="1" customFormat="1" ht="20.100000000000001" customHeight="1" x14ac:dyDescent="0.3"/>
    <row r="67" s="1" customFormat="1" ht="20.100000000000001" customHeight="1" x14ac:dyDescent="0.3"/>
    <row r="68" s="1" customFormat="1" ht="20.100000000000001" customHeight="1" x14ac:dyDescent="0.3"/>
    <row r="69" s="1" customFormat="1" ht="20.100000000000001" customHeight="1" x14ac:dyDescent="0.3"/>
    <row r="70" s="1" customFormat="1" ht="20.100000000000001" customHeight="1" x14ac:dyDescent="0.3"/>
  </sheetData>
  <mergeCells count="2">
    <mergeCell ref="C3:C4"/>
    <mergeCell ref="C6:C7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6A02B-2F8B-49B7-801D-39751BA7BB2E}">
  <dimension ref="A1:H100"/>
  <sheetViews>
    <sheetView workbookViewId="0">
      <selection activeCell="I19" sqref="I19"/>
    </sheetView>
  </sheetViews>
  <sheetFormatPr defaultRowHeight="14.25" x14ac:dyDescent="0.2"/>
  <sheetData>
    <row r="1" spans="1:8" ht="20.100000000000001" customHeight="1" x14ac:dyDescent="0.2">
      <c r="A1" s="10" t="s">
        <v>19</v>
      </c>
      <c r="B1" s="10" t="s">
        <v>20</v>
      </c>
      <c r="C1" s="10" t="s">
        <v>21</v>
      </c>
      <c r="D1" s="10" t="s">
        <v>1</v>
      </c>
      <c r="E1" s="10" t="s">
        <v>0</v>
      </c>
      <c r="F1" s="10" t="s">
        <v>22</v>
      </c>
      <c r="G1" s="10" t="s">
        <v>23</v>
      </c>
      <c r="H1" s="11"/>
    </row>
    <row r="2" spans="1:8" ht="20.100000000000001" customHeight="1" x14ac:dyDescent="0.2">
      <c r="A2" s="12">
        <v>1</v>
      </c>
      <c r="B2" s="12">
        <v>5</v>
      </c>
      <c r="C2" s="12">
        <v>5</v>
      </c>
      <c r="D2" s="12">
        <f>ROUND(首页!D$4*$B2,0)</f>
        <v>7000</v>
      </c>
      <c r="E2" s="12">
        <f>ROUND(首页!E$4*$B2,0)</f>
        <v>500</v>
      </c>
      <c r="F2" s="12">
        <f>ROUND(首页!F$4*$B2,0)</f>
        <v>150</v>
      </c>
      <c r="G2" s="12">
        <f>ROUND(首页!G$4*$B2,0)</f>
        <v>150</v>
      </c>
      <c r="H2" s="12"/>
    </row>
    <row r="3" spans="1:8" ht="20.100000000000001" customHeight="1" x14ac:dyDescent="0.2">
      <c r="A3" s="12">
        <v>2</v>
      </c>
      <c r="B3" s="12">
        <f>B2+0.25</f>
        <v>5.25</v>
      </c>
      <c r="C3" s="12">
        <f>C2+0.12</f>
        <v>5.12</v>
      </c>
      <c r="D3" s="12">
        <f>ROUND(首页!D$4*$B3,0)</f>
        <v>7350</v>
      </c>
      <c r="E3" s="12">
        <f>ROUND(首页!E$4*$B3,0)</f>
        <v>525</v>
      </c>
      <c r="F3" s="12">
        <f>ROUND(首页!F$4*$B3,0)</f>
        <v>158</v>
      </c>
      <c r="G3" s="12">
        <f>ROUND(首页!G$4*$B3,0)</f>
        <v>158</v>
      </c>
      <c r="H3" s="12"/>
    </row>
    <row r="4" spans="1:8" ht="20.100000000000001" customHeight="1" x14ac:dyDescent="0.2">
      <c r="A4" s="12">
        <v>3</v>
      </c>
      <c r="B4" s="12">
        <f t="shared" ref="B4:B67" si="0">B3+0.25</f>
        <v>5.5</v>
      </c>
      <c r="C4" s="12">
        <f t="shared" ref="C4:C67" si="1">C3+0.12</f>
        <v>5.24</v>
      </c>
      <c r="D4" s="12">
        <f>ROUND(首页!D$4*$B4,0)</f>
        <v>7700</v>
      </c>
      <c r="E4" s="12">
        <f>ROUND(首页!E$4*$B4,0)</f>
        <v>550</v>
      </c>
      <c r="F4" s="12">
        <f>ROUND(首页!F$4*$B4,0)</f>
        <v>165</v>
      </c>
      <c r="G4" s="12">
        <f>ROUND(首页!G$4*$B4,0)</f>
        <v>165</v>
      </c>
      <c r="H4" s="12"/>
    </row>
    <row r="5" spans="1:8" ht="20.100000000000001" customHeight="1" x14ac:dyDescent="0.2">
      <c r="A5" s="12">
        <v>4</v>
      </c>
      <c r="B5" s="12">
        <f t="shared" si="0"/>
        <v>5.75</v>
      </c>
      <c r="C5" s="12">
        <f t="shared" si="1"/>
        <v>5.36</v>
      </c>
      <c r="D5" s="12">
        <f>ROUND(首页!D$4*$B5,0)</f>
        <v>8050</v>
      </c>
      <c r="E5" s="12">
        <f>ROUND(首页!E$4*$B5,0)</f>
        <v>575</v>
      </c>
      <c r="F5" s="12">
        <f>ROUND(首页!F$4*$B5,0)</f>
        <v>173</v>
      </c>
      <c r="G5" s="12">
        <f>ROUND(首页!G$4*$B5,0)</f>
        <v>173</v>
      </c>
      <c r="H5" s="11"/>
    </row>
    <row r="6" spans="1:8" ht="20.100000000000001" customHeight="1" x14ac:dyDescent="0.2">
      <c r="A6" s="12">
        <v>5</v>
      </c>
      <c r="B6" s="12">
        <f t="shared" si="0"/>
        <v>6</v>
      </c>
      <c r="C6" s="12">
        <f t="shared" si="1"/>
        <v>5.48</v>
      </c>
      <c r="D6" s="12">
        <f>ROUND(首页!D$4*$B6,0)</f>
        <v>8400</v>
      </c>
      <c r="E6" s="12">
        <f>ROUND(首页!E$4*$B6,0)</f>
        <v>600</v>
      </c>
      <c r="F6" s="12">
        <f>ROUND(首页!F$4*$B6,0)</f>
        <v>180</v>
      </c>
      <c r="G6" s="12">
        <f>ROUND(首页!G$4*$B6,0)</f>
        <v>180</v>
      </c>
      <c r="H6" s="11"/>
    </row>
    <row r="7" spans="1:8" ht="20.100000000000001" customHeight="1" x14ac:dyDescent="0.2">
      <c r="A7" s="12">
        <v>6</v>
      </c>
      <c r="B7" s="12">
        <f t="shared" si="0"/>
        <v>6.25</v>
      </c>
      <c r="C7" s="12">
        <f t="shared" si="1"/>
        <v>5.6000000000000005</v>
      </c>
      <c r="D7" s="12">
        <f>ROUND(首页!D$4*$B7,0)</f>
        <v>8750</v>
      </c>
      <c r="E7" s="12">
        <f>ROUND(首页!E$4*$B7,0)</f>
        <v>625</v>
      </c>
      <c r="F7" s="12">
        <f>ROUND(首页!F$4*$B7,0)</f>
        <v>188</v>
      </c>
      <c r="G7" s="12">
        <f>ROUND(首页!G$4*$B7,0)</f>
        <v>188</v>
      </c>
      <c r="H7" s="11"/>
    </row>
    <row r="8" spans="1:8" ht="20.100000000000001" customHeight="1" x14ac:dyDescent="0.2">
      <c r="A8" s="12">
        <v>7</v>
      </c>
      <c r="B8" s="12">
        <f t="shared" si="0"/>
        <v>6.5</v>
      </c>
      <c r="C8" s="12">
        <f t="shared" si="1"/>
        <v>5.7200000000000006</v>
      </c>
      <c r="D8" s="12">
        <f>ROUND(首页!D$4*$B8,0)</f>
        <v>9100</v>
      </c>
      <c r="E8" s="12">
        <f>ROUND(首页!E$4*$B8,0)</f>
        <v>650</v>
      </c>
      <c r="F8" s="12">
        <f>ROUND(首页!F$4*$B8,0)</f>
        <v>195</v>
      </c>
      <c r="G8" s="12">
        <f>ROUND(首页!G$4*$B8,0)</f>
        <v>195</v>
      </c>
      <c r="H8" s="11"/>
    </row>
    <row r="9" spans="1:8" ht="20.100000000000001" customHeight="1" x14ac:dyDescent="0.2">
      <c r="A9" s="12">
        <v>8</v>
      </c>
      <c r="B9" s="12">
        <f t="shared" si="0"/>
        <v>6.75</v>
      </c>
      <c r="C9" s="12">
        <f t="shared" si="1"/>
        <v>5.8400000000000007</v>
      </c>
      <c r="D9" s="12">
        <f>ROUND(首页!D$4*$B9,0)</f>
        <v>9450</v>
      </c>
      <c r="E9" s="12">
        <f>ROUND(首页!E$4*$B9,0)</f>
        <v>675</v>
      </c>
      <c r="F9" s="12">
        <f>ROUND(首页!F$4*$B9,0)</f>
        <v>203</v>
      </c>
      <c r="G9" s="12">
        <f>ROUND(首页!G$4*$B9,0)</f>
        <v>203</v>
      </c>
      <c r="H9" s="11"/>
    </row>
    <row r="10" spans="1:8" ht="20.100000000000001" customHeight="1" x14ac:dyDescent="0.2">
      <c r="A10" s="12">
        <v>9</v>
      </c>
      <c r="B10" s="12">
        <f t="shared" si="0"/>
        <v>7</v>
      </c>
      <c r="C10" s="12">
        <f t="shared" si="1"/>
        <v>5.9600000000000009</v>
      </c>
      <c r="D10" s="12">
        <f>ROUND(首页!D$4*$B10,0)</f>
        <v>9800</v>
      </c>
      <c r="E10" s="12">
        <f>ROUND(首页!E$4*$B10,0)</f>
        <v>700</v>
      </c>
      <c r="F10" s="12">
        <f>ROUND(首页!F$4*$B10,0)</f>
        <v>210</v>
      </c>
      <c r="G10" s="12">
        <f>ROUND(首页!G$4*$B10,0)</f>
        <v>210</v>
      </c>
      <c r="H10" s="11"/>
    </row>
    <row r="11" spans="1:8" ht="20.100000000000001" customHeight="1" x14ac:dyDescent="0.2">
      <c r="A11" s="12">
        <v>10</v>
      </c>
      <c r="B11" s="12">
        <f t="shared" si="0"/>
        <v>7.25</v>
      </c>
      <c r="C11" s="12">
        <f t="shared" si="1"/>
        <v>6.080000000000001</v>
      </c>
      <c r="D11" s="12">
        <f>ROUND(首页!D$4*$B11,0)</f>
        <v>10150</v>
      </c>
      <c r="E11" s="12">
        <f>ROUND(首页!E$4*$B11,0)</f>
        <v>725</v>
      </c>
      <c r="F11" s="12">
        <f>ROUND(首页!F$4*$B11,0)</f>
        <v>218</v>
      </c>
      <c r="G11" s="12">
        <f>ROUND(首页!G$4*$B11,0)</f>
        <v>218</v>
      </c>
      <c r="H11" s="11"/>
    </row>
    <row r="12" spans="1:8" ht="20.100000000000001" customHeight="1" x14ac:dyDescent="0.2">
      <c r="A12" s="12">
        <v>11</v>
      </c>
      <c r="B12" s="12">
        <f t="shared" si="0"/>
        <v>7.5</v>
      </c>
      <c r="C12" s="12">
        <f t="shared" si="1"/>
        <v>6.2000000000000011</v>
      </c>
      <c r="D12" s="12">
        <f>ROUND(首页!D$4*$B12,0)</f>
        <v>10500</v>
      </c>
      <c r="E12" s="12">
        <f>ROUND(首页!E$4*$B12,0)</f>
        <v>750</v>
      </c>
      <c r="F12" s="12">
        <f>ROUND(首页!F$4*$B12,0)</f>
        <v>225</v>
      </c>
      <c r="G12" s="12">
        <f>ROUND(首页!G$4*$B12,0)</f>
        <v>225</v>
      </c>
      <c r="H12" s="11"/>
    </row>
    <row r="13" spans="1:8" ht="20.100000000000001" customHeight="1" x14ac:dyDescent="0.2">
      <c r="A13" s="12">
        <v>12</v>
      </c>
      <c r="B13" s="12">
        <f t="shared" si="0"/>
        <v>7.75</v>
      </c>
      <c r="C13" s="12">
        <f t="shared" si="1"/>
        <v>6.3200000000000012</v>
      </c>
      <c r="D13" s="12">
        <f>ROUND(首页!D$4*$B13,0)</f>
        <v>10850</v>
      </c>
      <c r="E13" s="12">
        <f>ROUND(首页!E$4*$B13,0)</f>
        <v>775</v>
      </c>
      <c r="F13" s="12">
        <f>ROUND(首页!F$4*$B13,0)</f>
        <v>233</v>
      </c>
      <c r="G13" s="12">
        <f>ROUND(首页!G$4*$B13,0)</f>
        <v>233</v>
      </c>
      <c r="H13" s="11"/>
    </row>
    <row r="14" spans="1:8" ht="20.100000000000001" customHeight="1" x14ac:dyDescent="0.2">
      <c r="A14" s="12">
        <v>13</v>
      </c>
      <c r="B14" s="12">
        <f t="shared" si="0"/>
        <v>8</v>
      </c>
      <c r="C14" s="12">
        <f t="shared" si="1"/>
        <v>6.4400000000000013</v>
      </c>
      <c r="D14" s="12">
        <f>ROUND(首页!D$4*$B14,0)</f>
        <v>11200</v>
      </c>
      <c r="E14" s="12">
        <f>ROUND(首页!E$4*$B14,0)</f>
        <v>800</v>
      </c>
      <c r="F14" s="12">
        <f>ROUND(首页!F$4*$B14,0)</f>
        <v>240</v>
      </c>
      <c r="G14" s="12">
        <f>ROUND(首页!G$4*$B14,0)</f>
        <v>240</v>
      </c>
      <c r="H14" s="11"/>
    </row>
    <row r="15" spans="1:8" ht="20.100000000000001" customHeight="1" x14ac:dyDescent="0.2">
      <c r="A15" s="12">
        <v>14</v>
      </c>
      <c r="B15" s="12">
        <f t="shared" si="0"/>
        <v>8.25</v>
      </c>
      <c r="C15" s="12">
        <f t="shared" si="1"/>
        <v>6.5600000000000014</v>
      </c>
      <c r="D15" s="12">
        <f>ROUND(首页!D$4*$B15,0)</f>
        <v>11550</v>
      </c>
      <c r="E15" s="12">
        <f>ROUND(首页!E$4*$B15,0)</f>
        <v>825</v>
      </c>
      <c r="F15" s="12">
        <f>ROUND(首页!F$4*$B15,0)</f>
        <v>248</v>
      </c>
      <c r="G15" s="12">
        <f>ROUND(首页!G$4*$B15,0)</f>
        <v>248</v>
      </c>
      <c r="H15" s="11"/>
    </row>
    <row r="16" spans="1:8" ht="20.100000000000001" customHeight="1" x14ac:dyDescent="0.2">
      <c r="A16" s="12">
        <v>15</v>
      </c>
      <c r="B16" s="12">
        <f t="shared" si="0"/>
        <v>8.5</v>
      </c>
      <c r="C16" s="12">
        <f t="shared" si="1"/>
        <v>6.6800000000000015</v>
      </c>
      <c r="D16" s="12">
        <f>ROUND(首页!D$4*$B16,0)</f>
        <v>11900</v>
      </c>
      <c r="E16" s="12">
        <f>ROUND(首页!E$4*$B16,0)</f>
        <v>850</v>
      </c>
      <c r="F16" s="12">
        <f>ROUND(首页!F$4*$B16,0)</f>
        <v>255</v>
      </c>
      <c r="G16" s="12">
        <f>ROUND(首页!G$4*$B16,0)</f>
        <v>255</v>
      </c>
      <c r="H16" s="11"/>
    </row>
    <row r="17" spans="1:8" ht="20.100000000000001" customHeight="1" x14ac:dyDescent="0.2">
      <c r="A17" s="12">
        <v>16</v>
      </c>
      <c r="B17" s="12">
        <f t="shared" si="0"/>
        <v>8.75</v>
      </c>
      <c r="C17" s="12">
        <f t="shared" si="1"/>
        <v>6.8000000000000016</v>
      </c>
      <c r="D17" s="12">
        <f>ROUND(首页!D$4*$B17,0)</f>
        <v>12250</v>
      </c>
      <c r="E17" s="12">
        <f>ROUND(首页!E$4*$B17,0)</f>
        <v>875</v>
      </c>
      <c r="F17" s="12">
        <f>ROUND(首页!F$4*$B17,0)</f>
        <v>263</v>
      </c>
      <c r="G17" s="12">
        <f>ROUND(首页!G$4*$B17,0)</f>
        <v>263</v>
      </c>
      <c r="H17" s="11"/>
    </row>
    <row r="18" spans="1:8" ht="20.100000000000001" customHeight="1" x14ac:dyDescent="0.2">
      <c r="A18" s="12">
        <v>17</v>
      </c>
      <c r="B18" s="12">
        <f t="shared" si="0"/>
        <v>9</v>
      </c>
      <c r="C18" s="12">
        <f t="shared" si="1"/>
        <v>6.9200000000000017</v>
      </c>
      <c r="D18" s="12">
        <f>ROUND(首页!D$4*$B18,0)</f>
        <v>12600</v>
      </c>
      <c r="E18" s="12">
        <f>ROUND(首页!E$4*$B18,0)</f>
        <v>900</v>
      </c>
      <c r="F18" s="12">
        <f>ROUND(首页!F$4*$B18,0)</f>
        <v>270</v>
      </c>
      <c r="G18" s="12">
        <f>ROUND(首页!G$4*$B18,0)</f>
        <v>270</v>
      </c>
      <c r="H18" s="11"/>
    </row>
    <row r="19" spans="1:8" ht="20.100000000000001" customHeight="1" x14ac:dyDescent="0.2">
      <c r="A19" s="12">
        <v>18</v>
      </c>
      <c r="B19" s="12">
        <f t="shared" si="0"/>
        <v>9.25</v>
      </c>
      <c r="C19" s="12">
        <f t="shared" si="1"/>
        <v>7.0400000000000018</v>
      </c>
      <c r="D19" s="12">
        <f>ROUND(首页!D$4*$B19,0)</f>
        <v>12950</v>
      </c>
      <c r="E19" s="12">
        <f>ROUND(首页!E$4*$B19,0)</f>
        <v>925</v>
      </c>
      <c r="F19" s="12">
        <f>ROUND(首页!F$4*$B19,0)</f>
        <v>278</v>
      </c>
      <c r="G19" s="12">
        <f>ROUND(首页!G$4*$B19,0)</f>
        <v>278</v>
      </c>
      <c r="H19" s="11"/>
    </row>
    <row r="20" spans="1:8" ht="20.100000000000001" customHeight="1" x14ac:dyDescent="0.2">
      <c r="A20" s="12">
        <v>19</v>
      </c>
      <c r="B20" s="12">
        <f t="shared" si="0"/>
        <v>9.5</v>
      </c>
      <c r="C20" s="12">
        <f t="shared" si="1"/>
        <v>7.1600000000000019</v>
      </c>
      <c r="D20" s="12">
        <f>ROUND(首页!D$4*$B20,0)</f>
        <v>13300</v>
      </c>
      <c r="E20" s="12">
        <f>ROUND(首页!E$4*$B20,0)</f>
        <v>950</v>
      </c>
      <c r="F20" s="12">
        <f>ROUND(首页!F$4*$B20,0)</f>
        <v>285</v>
      </c>
      <c r="G20" s="12">
        <f>ROUND(首页!G$4*$B20,0)</f>
        <v>285</v>
      </c>
      <c r="H20" s="11"/>
    </row>
    <row r="21" spans="1:8" ht="20.100000000000001" customHeight="1" x14ac:dyDescent="0.2">
      <c r="A21" s="12">
        <v>20</v>
      </c>
      <c r="B21" s="12">
        <f t="shared" si="0"/>
        <v>9.75</v>
      </c>
      <c r="C21" s="12">
        <f t="shared" si="1"/>
        <v>7.280000000000002</v>
      </c>
      <c r="D21" s="12">
        <f>ROUND(首页!D$4*$B21,0)</f>
        <v>13650</v>
      </c>
      <c r="E21" s="12">
        <f>ROUND(首页!E$4*$B21,0)</f>
        <v>975</v>
      </c>
      <c r="F21" s="12">
        <f>ROUND(首页!F$4*$B21,0)</f>
        <v>293</v>
      </c>
      <c r="G21" s="12">
        <f>ROUND(首页!G$4*$B21,0)</f>
        <v>293</v>
      </c>
      <c r="H21" s="11"/>
    </row>
    <row r="22" spans="1:8" ht="20.100000000000001" customHeight="1" x14ac:dyDescent="0.2">
      <c r="A22" s="12">
        <v>21</v>
      </c>
      <c r="B22" s="12">
        <f t="shared" si="0"/>
        <v>10</v>
      </c>
      <c r="C22" s="12">
        <f t="shared" si="1"/>
        <v>7.4000000000000021</v>
      </c>
      <c r="D22" s="12">
        <f>ROUND(首页!D$4*$B22,0)</f>
        <v>14000</v>
      </c>
      <c r="E22" s="12">
        <f>ROUND(首页!E$4*$B22,0)</f>
        <v>1000</v>
      </c>
      <c r="F22" s="12">
        <f>ROUND(首页!F$4*$B22,0)</f>
        <v>300</v>
      </c>
      <c r="G22" s="12">
        <f>ROUND(首页!G$4*$B22,0)</f>
        <v>300</v>
      </c>
      <c r="H22" s="11"/>
    </row>
    <row r="23" spans="1:8" ht="20.100000000000001" customHeight="1" x14ac:dyDescent="0.2">
      <c r="A23" s="12">
        <v>22</v>
      </c>
      <c r="B23" s="12">
        <f t="shared" si="0"/>
        <v>10.25</v>
      </c>
      <c r="C23" s="12">
        <f t="shared" si="1"/>
        <v>7.5200000000000022</v>
      </c>
      <c r="D23" s="12">
        <f>ROUND(首页!D$4*$B23,0)</f>
        <v>14350</v>
      </c>
      <c r="E23" s="12">
        <f>ROUND(首页!E$4*$B23,0)</f>
        <v>1025</v>
      </c>
      <c r="F23" s="12">
        <f>ROUND(首页!F$4*$B23,0)</f>
        <v>308</v>
      </c>
      <c r="G23" s="12">
        <f>ROUND(首页!G$4*$B23,0)</f>
        <v>308</v>
      </c>
      <c r="H23" s="11"/>
    </row>
    <row r="24" spans="1:8" ht="20.100000000000001" customHeight="1" x14ac:dyDescent="0.2">
      <c r="A24" s="12">
        <v>23</v>
      </c>
      <c r="B24" s="12">
        <f t="shared" si="0"/>
        <v>10.5</v>
      </c>
      <c r="C24" s="12">
        <f t="shared" si="1"/>
        <v>7.6400000000000023</v>
      </c>
      <c r="D24" s="12">
        <f>ROUND(首页!D$4*$B24,0)</f>
        <v>14700</v>
      </c>
      <c r="E24" s="12">
        <f>ROUND(首页!E$4*$B24,0)</f>
        <v>1050</v>
      </c>
      <c r="F24" s="12">
        <f>ROUND(首页!F$4*$B24,0)</f>
        <v>315</v>
      </c>
      <c r="G24" s="12">
        <f>ROUND(首页!G$4*$B24,0)</f>
        <v>315</v>
      </c>
      <c r="H24" s="11"/>
    </row>
    <row r="25" spans="1:8" ht="20.100000000000001" customHeight="1" x14ac:dyDescent="0.2">
      <c r="A25" s="12">
        <v>24</v>
      </c>
      <c r="B25" s="12">
        <f t="shared" si="0"/>
        <v>10.75</v>
      </c>
      <c r="C25" s="12">
        <f t="shared" si="1"/>
        <v>7.7600000000000025</v>
      </c>
      <c r="D25" s="12">
        <f>ROUND(首页!D$4*$B25,0)</f>
        <v>15050</v>
      </c>
      <c r="E25" s="12">
        <f>ROUND(首页!E$4*$B25,0)</f>
        <v>1075</v>
      </c>
      <c r="F25" s="12">
        <f>ROUND(首页!F$4*$B25,0)</f>
        <v>323</v>
      </c>
      <c r="G25" s="12">
        <f>ROUND(首页!G$4*$B25,0)</f>
        <v>323</v>
      </c>
      <c r="H25" s="11"/>
    </row>
    <row r="26" spans="1:8" ht="20.100000000000001" customHeight="1" x14ac:dyDescent="0.2">
      <c r="A26" s="12">
        <v>25</v>
      </c>
      <c r="B26" s="12">
        <f t="shared" si="0"/>
        <v>11</v>
      </c>
      <c r="C26" s="12">
        <f t="shared" si="1"/>
        <v>7.8800000000000026</v>
      </c>
      <c r="D26" s="12">
        <f>ROUND(首页!D$4*$B26,0)</f>
        <v>15400</v>
      </c>
      <c r="E26" s="12">
        <f>ROUND(首页!E$4*$B26,0)</f>
        <v>1100</v>
      </c>
      <c r="F26" s="12">
        <f>ROUND(首页!F$4*$B26,0)</f>
        <v>330</v>
      </c>
      <c r="G26" s="12">
        <f>ROUND(首页!G$4*$B26,0)</f>
        <v>330</v>
      </c>
      <c r="H26" s="11"/>
    </row>
    <row r="27" spans="1:8" ht="20.100000000000001" customHeight="1" x14ac:dyDescent="0.2">
      <c r="A27" s="12">
        <v>26</v>
      </c>
      <c r="B27" s="12">
        <f t="shared" si="0"/>
        <v>11.25</v>
      </c>
      <c r="C27" s="12">
        <f t="shared" si="1"/>
        <v>8.0000000000000018</v>
      </c>
      <c r="D27" s="12">
        <f>ROUND(首页!D$4*$B27,0)</f>
        <v>15750</v>
      </c>
      <c r="E27" s="12">
        <f>ROUND(首页!E$4*$B27,0)</f>
        <v>1125</v>
      </c>
      <c r="F27" s="12">
        <f>ROUND(首页!F$4*$B27,0)</f>
        <v>338</v>
      </c>
      <c r="G27" s="12">
        <f>ROUND(首页!G$4*$B27,0)</f>
        <v>338</v>
      </c>
      <c r="H27" s="11"/>
    </row>
    <row r="28" spans="1:8" ht="20.100000000000001" customHeight="1" x14ac:dyDescent="0.2">
      <c r="A28" s="12">
        <v>27</v>
      </c>
      <c r="B28" s="12">
        <f t="shared" si="0"/>
        <v>11.5</v>
      </c>
      <c r="C28" s="12">
        <f t="shared" si="1"/>
        <v>8.120000000000001</v>
      </c>
      <c r="D28" s="12">
        <f>ROUND(首页!D$4*$B28,0)</f>
        <v>16100</v>
      </c>
      <c r="E28" s="12">
        <f>ROUND(首页!E$4*$B28,0)</f>
        <v>1150</v>
      </c>
      <c r="F28" s="12">
        <f>ROUND(首页!F$4*$B28,0)</f>
        <v>345</v>
      </c>
      <c r="G28" s="12">
        <f>ROUND(首页!G$4*$B28,0)</f>
        <v>345</v>
      </c>
      <c r="H28" s="11"/>
    </row>
    <row r="29" spans="1:8" ht="20.100000000000001" customHeight="1" x14ac:dyDescent="0.2">
      <c r="A29" s="12">
        <v>28</v>
      </c>
      <c r="B29" s="12">
        <f t="shared" si="0"/>
        <v>11.75</v>
      </c>
      <c r="C29" s="12">
        <f t="shared" si="1"/>
        <v>8.24</v>
      </c>
      <c r="D29" s="12">
        <f>ROUND(首页!D$4*$B29,0)</f>
        <v>16450</v>
      </c>
      <c r="E29" s="12">
        <f>ROUND(首页!E$4*$B29,0)</f>
        <v>1175</v>
      </c>
      <c r="F29" s="12">
        <f>ROUND(首页!F$4*$B29,0)</f>
        <v>353</v>
      </c>
      <c r="G29" s="12">
        <f>ROUND(首页!G$4*$B29,0)</f>
        <v>353</v>
      </c>
      <c r="H29" s="11"/>
    </row>
    <row r="30" spans="1:8" ht="20.100000000000001" customHeight="1" x14ac:dyDescent="0.2">
      <c r="A30" s="12">
        <v>29</v>
      </c>
      <c r="B30" s="12">
        <f t="shared" si="0"/>
        <v>12</v>
      </c>
      <c r="C30" s="12">
        <f t="shared" si="1"/>
        <v>8.36</v>
      </c>
      <c r="D30" s="12">
        <f>ROUND(首页!D$4*$B30,0)</f>
        <v>16800</v>
      </c>
      <c r="E30" s="12">
        <f>ROUND(首页!E$4*$B30,0)</f>
        <v>1200</v>
      </c>
      <c r="F30" s="12">
        <f>ROUND(首页!F$4*$B30,0)</f>
        <v>360</v>
      </c>
      <c r="G30" s="12">
        <f>ROUND(首页!G$4*$B30,0)</f>
        <v>360</v>
      </c>
      <c r="H30" s="11"/>
    </row>
    <row r="31" spans="1:8" ht="20.100000000000001" customHeight="1" x14ac:dyDescent="0.2">
      <c r="A31" s="12">
        <v>30</v>
      </c>
      <c r="B31" s="12">
        <f t="shared" si="0"/>
        <v>12.25</v>
      </c>
      <c r="C31" s="12">
        <f t="shared" si="1"/>
        <v>8.4799999999999986</v>
      </c>
      <c r="D31" s="12">
        <f>ROUND(首页!D$4*$B31,0)</f>
        <v>17150</v>
      </c>
      <c r="E31" s="12">
        <f>ROUND(首页!E$4*$B31,0)</f>
        <v>1225</v>
      </c>
      <c r="F31" s="12">
        <f>ROUND(首页!F$4*$B31,0)</f>
        <v>368</v>
      </c>
      <c r="G31" s="12">
        <f>ROUND(首页!G$4*$B31,0)</f>
        <v>368</v>
      </c>
      <c r="H31" s="11"/>
    </row>
    <row r="32" spans="1:8" ht="20.100000000000001" customHeight="1" x14ac:dyDescent="0.2">
      <c r="A32" s="12">
        <v>31</v>
      </c>
      <c r="B32" s="12">
        <f t="shared" si="0"/>
        <v>12.5</v>
      </c>
      <c r="C32" s="12">
        <f t="shared" si="1"/>
        <v>8.5999999999999979</v>
      </c>
      <c r="D32" s="12">
        <f>ROUND(首页!D$4*$B32,0)</f>
        <v>17500</v>
      </c>
      <c r="E32" s="12">
        <f>ROUND(首页!E$4*$B32,0)</f>
        <v>1250</v>
      </c>
      <c r="F32" s="12">
        <f>ROUND(首页!F$4*$B32,0)</f>
        <v>375</v>
      </c>
      <c r="G32" s="12">
        <f>ROUND(首页!G$4*$B32,0)</f>
        <v>375</v>
      </c>
      <c r="H32" s="11"/>
    </row>
    <row r="33" spans="1:8" ht="20.100000000000001" customHeight="1" x14ac:dyDescent="0.2">
      <c r="A33" s="12">
        <v>32</v>
      </c>
      <c r="B33" s="12">
        <f t="shared" si="0"/>
        <v>12.75</v>
      </c>
      <c r="C33" s="12">
        <f t="shared" si="1"/>
        <v>8.7199999999999971</v>
      </c>
      <c r="D33" s="12">
        <f>ROUND(首页!D$4*$B33,0)</f>
        <v>17850</v>
      </c>
      <c r="E33" s="12">
        <f>ROUND(首页!E$4*$B33,0)</f>
        <v>1275</v>
      </c>
      <c r="F33" s="12">
        <f>ROUND(首页!F$4*$B33,0)</f>
        <v>383</v>
      </c>
      <c r="G33" s="12">
        <f>ROUND(首页!G$4*$B33,0)</f>
        <v>383</v>
      </c>
      <c r="H33" s="11"/>
    </row>
    <row r="34" spans="1:8" ht="20.100000000000001" customHeight="1" x14ac:dyDescent="0.2">
      <c r="A34" s="12">
        <v>33</v>
      </c>
      <c r="B34" s="12">
        <f t="shared" si="0"/>
        <v>13</v>
      </c>
      <c r="C34" s="12">
        <f t="shared" si="1"/>
        <v>8.8399999999999963</v>
      </c>
      <c r="D34" s="12">
        <f>ROUND(首页!D$4*$B34,0)</f>
        <v>18200</v>
      </c>
      <c r="E34" s="12">
        <f>ROUND(首页!E$4*$B34,0)</f>
        <v>1300</v>
      </c>
      <c r="F34" s="12">
        <f>ROUND(首页!F$4*$B34,0)</f>
        <v>390</v>
      </c>
      <c r="G34" s="12">
        <f>ROUND(首页!G$4*$B34,0)</f>
        <v>390</v>
      </c>
      <c r="H34" s="11"/>
    </row>
    <row r="35" spans="1:8" ht="20.100000000000001" customHeight="1" x14ac:dyDescent="0.2">
      <c r="A35" s="12">
        <v>34</v>
      </c>
      <c r="B35" s="12">
        <f t="shared" si="0"/>
        <v>13.25</v>
      </c>
      <c r="C35" s="12">
        <f t="shared" si="1"/>
        <v>8.9599999999999955</v>
      </c>
      <c r="D35" s="12">
        <f>ROUND(首页!D$4*$B35,0)</f>
        <v>18550</v>
      </c>
      <c r="E35" s="12">
        <f>ROUND(首页!E$4*$B35,0)</f>
        <v>1325</v>
      </c>
      <c r="F35" s="12">
        <f>ROUND(首页!F$4*$B35,0)</f>
        <v>398</v>
      </c>
      <c r="G35" s="12">
        <f>ROUND(首页!G$4*$B35,0)</f>
        <v>398</v>
      </c>
      <c r="H35" s="11"/>
    </row>
    <row r="36" spans="1:8" ht="20.100000000000001" customHeight="1" x14ac:dyDescent="0.2">
      <c r="A36" s="12">
        <v>35</v>
      </c>
      <c r="B36" s="12">
        <f t="shared" si="0"/>
        <v>13.5</v>
      </c>
      <c r="C36" s="12">
        <f t="shared" si="1"/>
        <v>9.0799999999999947</v>
      </c>
      <c r="D36" s="12">
        <f>ROUND(首页!D$4*$B36,0)</f>
        <v>18900</v>
      </c>
      <c r="E36" s="12">
        <f>ROUND(首页!E$4*$B36,0)</f>
        <v>1350</v>
      </c>
      <c r="F36" s="12">
        <f>ROUND(首页!F$4*$B36,0)</f>
        <v>405</v>
      </c>
      <c r="G36" s="12">
        <f>ROUND(首页!G$4*$B36,0)</f>
        <v>405</v>
      </c>
      <c r="H36" s="11"/>
    </row>
    <row r="37" spans="1:8" ht="20.100000000000001" customHeight="1" x14ac:dyDescent="0.2">
      <c r="A37" s="12">
        <v>36</v>
      </c>
      <c r="B37" s="12">
        <f t="shared" si="0"/>
        <v>13.75</v>
      </c>
      <c r="C37" s="12">
        <f t="shared" si="1"/>
        <v>9.199999999999994</v>
      </c>
      <c r="D37" s="12">
        <f>ROUND(首页!D$4*$B37,0)</f>
        <v>19250</v>
      </c>
      <c r="E37" s="12">
        <f>ROUND(首页!E$4*$B37,0)</f>
        <v>1375</v>
      </c>
      <c r="F37" s="12">
        <f>ROUND(首页!F$4*$B37,0)</f>
        <v>413</v>
      </c>
      <c r="G37" s="12">
        <f>ROUND(首页!G$4*$B37,0)</f>
        <v>413</v>
      </c>
      <c r="H37" s="11"/>
    </row>
    <row r="38" spans="1:8" ht="20.100000000000001" customHeight="1" x14ac:dyDescent="0.2">
      <c r="A38" s="12">
        <v>37</v>
      </c>
      <c r="B38" s="12">
        <f t="shared" si="0"/>
        <v>14</v>
      </c>
      <c r="C38" s="12">
        <f t="shared" si="1"/>
        <v>9.3199999999999932</v>
      </c>
      <c r="D38" s="12">
        <f>ROUND(首页!D$4*$B38,0)</f>
        <v>19600</v>
      </c>
      <c r="E38" s="12">
        <f>ROUND(首页!E$4*$B38,0)</f>
        <v>1400</v>
      </c>
      <c r="F38" s="12">
        <f>ROUND(首页!F$4*$B38,0)</f>
        <v>420</v>
      </c>
      <c r="G38" s="12">
        <f>ROUND(首页!G$4*$B38,0)</f>
        <v>420</v>
      </c>
      <c r="H38" s="11"/>
    </row>
    <row r="39" spans="1:8" ht="20.100000000000001" customHeight="1" x14ac:dyDescent="0.2">
      <c r="A39" s="12">
        <v>38</v>
      </c>
      <c r="B39" s="12">
        <f t="shared" si="0"/>
        <v>14.25</v>
      </c>
      <c r="C39" s="12">
        <f t="shared" si="1"/>
        <v>9.4399999999999924</v>
      </c>
      <c r="D39" s="12">
        <f>ROUND(首页!D$4*$B39,0)</f>
        <v>19950</v>
      </c>
      <c r="E39" s="12">
        <f>ROUND(首页!E$4*$B39,0)</f>
        <v>1425</v>
      </c>
      <c r="F39" s="12">
        <f>ROUND(首页!F$4*$B39,0)</f>
        <v>428</v>
      </c>
      <c r="G39" s="12">
        <f>ROUND(首页!G$4*$B39,0)</f>
        <v>428</v>
      </c>
      <c r="H39" s="11"/>
    </row>
    <row r="40" spans="1:8" ht="20.100000000000001" customHeight="1" x14ac:dyDescent="0.2">
      <c r="A40" s="12">
        <v>39</v>
      </c>
      <c r="B40" s="12">
        <f t="shared" si="0"/>
        <v>14.5</v>
      </c>
      <c r="C40" s="12">
        <f t="shared" si="1"/>
        <v>9.5599999999999916</v>
      </c>
      <c r="D40" s="12">
        <f>ROUND(首页!D$4*$B40,0)</f>
        <v>20300</v>
      </c>
      <c r="E40" s="12">
        <f>ROUND(首页!E$4*$B40,0)</f>
        <v>1450</v>
      </c>
      <c r="F40" s="12">
        <f>ROUND(首页!F$4*$B40,0)</f>
        <v>435</v>
      </c>
      <c r="G40" s="12">
        <f>ROUND(首页!G$4*$B40,0)</f>
        <v>435</v>
      </c>
      <c r="H40" s="11"/>
    </row>
    <row r="41" spans="1:8" ht="20.100000000000001" customHeight="1" x14ac:dyDescent="0.2">
      <c r="A41" s="12">
        <v>40</v>
      </c>
      <c r="B41" s="12">
        <f t="shared" si="0"/>
        <v>14.75</v>
      </c>
      <c r="C41" s="12">
        <f t="shared" si="1"/>
        <v>9.6799999999999908</v>
      </c>
      <c r="D41" s="12">
        <f>ROUND(首页!D$4*$B41,0)</f>
        <v>20650</v>
      </c>
      <c r="E41" s="12">
        <f>ROUND(首页!E$4*$B41,0)</f>
        <v>1475</v>
      </c>
      <c r="F41" s="12">
        <f>ROUND(首页!F$4*$B41,0)</f>
        <v>443</v>
      </c>
      <c r="G41" s="12">
        <f>ROUND(首页!G$4*$B41,0)</f>
        <v>443</v>
      </c>
      <c r="H41" s="11"/>
    </row>
    <row r="42" spans="1:8" ht="20.100000000000001" customHeight="1" x14ac:dyDescent="0.2">
      <c r="A42" s="12">
        <v>41</v>
      </c>
      <c r="B42" s="12">
        <f t="shared" si="0"/>
        <v>15</v>
      </c>
      <c r="C42" s="12">
        <f t="shared" si="1"/>
        <v>9.7999999999999901</v>
      </c>
      <c r="D42" s="12">
        <f>ROUND(首页!D$4*$B42,0)</f>
        <v>21000</v>
      </c>
      <c r="E42" s="12">
        <f>ROUND(首页!E$4*$B42,0)</f>
        <v>1500</v>
      </c>
      <c r="F42" s="12">
        <f>ROUND(首页!F$4*$B42,0)</f>
        <v>450</v>
      </c>
      <c r="G42" s="12">
        <f>ROUND(首页!G$4*$B42,0)</f>
        <v>450</v>
      </c>
      <c r="H42" s="11"/>
    </row>
    <row r="43" spans="1:8" ht="20.100000000000001" customHeight="1" x14ac:dyDescent="0.2">
      <c r="A43" s="12">
        <v>42</v>
      </c>
      <c r="B43" s="12">
        <f t="shared" si="0"/>
        <v>15.25</v>
      </c>
      <c r="C43" s="12">
        <f t="shared" si="1"/>
        <v>9.9199999999999893</v>
      </c>
      <c r="D43" s="12">
        <f>ROUND(首页!D$4*$B43,0)</f>
        <v>21350</v>
      </c>
      <c r="E43" s="12">
        <f>ROUND(首页!E$4*$B43,0)</f>
        <v>1525</v>
      </c>
      <c r="F43" s="12">
        <f>ROUND(首页!F$4*$B43,0)</f>
        <v>458</v>
      </c>
      <c r="G43" s="12">
        <f>ROUND(首页!G$4*$B43,0)</f>
        <v>458</v>
      </c>
      <c r="H43" s="11"/>
    </row>
    <row r="44" spans="1:8" ht="20.100000000000001" customHeight="1" x14ac:dyDescent="0.2">
      <c r="A44" s="12">
        <v>43</v>
      </c>
      <c r="B44" s="12">
        <f t="shared" si="0"/>
        <v>15.5</v>
      </c>
      <c r="C44" s="12">
        <f t="shared" si="1"/>
        <v>10.039999999999988</v>
      </c>
      <c r="D44" s="12">
        <f>ROUND(首页!D$4*$B44,0)</f>
        <v>21700</v>
      </c>
      <c r="E44" s="12">
        <f>ROUND(首页!E$4*$B44,0)</f>
        <v>1550</v>
      </c>
      <c r="F44" s="12">
        <f>ROUND(首页!F$4*$B44,0)</f>
        <v>465</v>
      </c>
      <c r="G44" s="12">
        <f>ROUND(首页!G$4*$B44,0)</f>
        <v>465</v>
      </c>
      <c r="H44" s="11"/>
    </row>
    <row r="45" spans="1:8" ht="20.100000000000001" customHeight="1" x14ac:dyDescent="0.2">
      <c r="A45" s="12">
        <v>44</v>
      </c>
      <c r="B45" s="12">
        <f t="shared" si="0"/>
        <v>15.75</v>
      </c>
      <c r="C45" s="12">
        <f t="shared" si="1"/>
        <v>10.159999999999988</v>
      </c>
      <c r="D45" s="12">
        <f>ROUND(首页!D$4*$B45,0)</f>
        <v>22050</v>
      </c>
      <c r="E45" s="12">
        <f>ROUND(首页!E$4*$B45,0)</f>
        <v>1575</v>
      </c>
      <c r="F45" s="12">
        <f>ROUND(首页!F$4*$B45,0)</f>
        <v>473</v>
      </c>
      <c r="G45" s="12">
        <f>ROUND(首页!G$4*$B45,0)</f>
        <v>473</v>
      </c>
      <c r="H45" s="11"/>
    </row>
    <row r="46" spans="1:8" ht="20.100000000000001" customHeight="1" x14ac:dyDescent="0.2">
      <c r="A46" s="12">
        <v>45</v>
      </c>
      <c r="B46" s="12">
        <f t="shared" si="0"/>
        <v>16</v>
      </c>
      <c r="C46" s="12">
        <f t="shared" si="1"/>
        <v>10.279999999999987</v>
      </c>
      <c r="D46" s="12">
        <f>ROUND(首页!D$4*$B46,0)</f>
        <v>22400</v>
      </c>
      <c r="E46" s="12">
        <f>ROUND(首页!E$4*$B46,0)</f>
        <v>1600</v>
      </c>
      <c r="F46" s="12">
        <f>ROUND(首页!F$4*$B46,0)</f>
        <v>480</v>
      </c>
      <c r="G46" s="12">
        <f>ROUND(首页!G$4*$B46,0)</f>
        <v>480</v>
      </c>
      <c r="H46" s="11"/>
    </row>
    <row r="47" spans="1:8" ht="20.100000000000001" customHeight="1" x14ac:dyDescent="0.2">
      <c r="A47" s="12">
        <v>46</v>
      </c>
      <c r="B47" s="12">
        <f t="shared" si="0"/>
        <v>16.25</v>
      </c>
      <c r="C47" s="12">
        <f t="shared" si="1"/>
        <v>10.399999999999986</v>
      </c>
      <c r="D47" s="12">
        <f>ROUND(首页!D$4*$B47,0)</f>
        <v>22750</v>
      </c>
      <c r="E47" s="12">
        <f>ROUND(首页!E$4*$B47,0)</f>
        <v>1625</v>
      </c>
      <c r="F47" s="12">
        <f>ROUND(首页!F$4*$B47,0)</f>
        <v>488</v>
      </c>
      <c r="G47" s="12">
        <f>ROUND(首页!G$4*$B47,0)</f>
        <v>488</v>
      </c>
      <c r="H47" s="11"/>
    </row>
    <row r="48" spans="1:8" ht="20.100000000000001" customHeight="1" x14ac:dyDescent="0.2">
      <c r="A48" s="12">
        <v>47</v>
      </c>
      <c r="B48" s="12">
        <f t="shared" si="0"/>
        <v>16.5</v>
      </c>
      <c r="C48" s="12">
        <f t="shared" si="1"/>
        <v>10.519999999999985</v>
      </c>
      <c r="D48" s="12">
        <f>ROUND(首页!D$4*$B48,0)</f>
        <v>23100</v>
      </c>
      <c r="E48" s="12">
        <f>ROUND(首页!E$4*$B48,0)</f>
        <v>1650</v>
      </c>
      <c r="F48" s="12">
        <f>ROUND(首页!F$4*$B48,0)</f>
        <v>495</v>
      </c>
      <c r="G48" s="12">
        <f>ROUND(首页!G$4*$B48,0)</f>
        <v>495</v>
      </c>
      <c r="H48" s="11"/>
    </row>
    <row r="49" spans="1:8" ht="20.100000000000001" customHeight="1" x14ac:dyDescent="0.2">
      <c r="A49" s="12">
        <v>48</v>
      </c>
      <c r="B49" s="12">
        <f t="shared" si="0"/>
        <v>16.75</v>
      </c>
      <c r="C49" s="12">
        <f t="shared" si="1"/>
        <v>10.639999999999985</v>
      </c>
      <c r="D49" s="12">
        <f>ROUND(首页!D$4*$B49,0)</f>
        <v>23450</v>
      </c>
      <c r="E49" s="12">
        <f>ROUND(首页!E$4*$B49,0)</f>
        <v>1675</v>
      </c>
      <c r="F49" s="12">
        <f>ROUND(首页!F$4*$B49,0)</f>
        <v>503</v>
      </c>
      <c r="G49" s="12">
        <f>ROUND(首页!G$4*$B49,0)</f>
        <v>503</v>
      </c>
      <c r="H49" s="11"/>
    </row>
    <row r="50" spans="1:8" ht="20.100000000000001" customHeight="1" x14ac:dyDescent="0.2">
      <c r="A50" s="12">
        <v>49</v>
      </c>
      <c r="B50" s="12">
        <f t="shared" si="0"/>
        <v>17</v>
      </c>
      <c r="C50" s="12">
        <f t="shared" si="1"/>
        <v>10.759999999999984</v>
      </c>
      <c r="D50" s="12">
        <f>ROUND(首页!D$4*$B50,0)</f>
        <v>23800</v>
      </c>
      <c r="E50" s="12">
        <f>ROUND(首页!E$4*$B50,0)</f>
        <v>1700</v>
      </c>
      <c r="F50" s="12">
        <f>ROUND(首页!F$4*$B50,0)</f>
        <v>510</v>
      </c>
      <c r="G50" s="12">
        <f>ROUND(首页!G$4*$B50,0)</f>
        <v>510</v>
      </c>
      <c r="H50" s="11"/>
    </row>
    <row r="51" spans="1:8" ht="20.100000000000001" customHeight="1" x14ac:dyDescent="0.2">
      <c r="A51" s="12">
        <v>50</v>
      </c>
      <c r="B51" s="12">
        <f t="shared" si="0"/>
        <v>17.25</v>
      </c>
      <c r="C51" s="12">
        <f t="shared" si="1"/>
        <v>10.879999999999983</v>
      </c>
      <c r="D51" s="12">
        <f>ROUND(首页!D$4*$B51,0)</f>
        <v>24150</v>
      </c>
      <c r="E51" s="12">
        <f>ROUND(首页!E$4*$B51,0)</f>
        <v>1725</v>
      </c>
      <c r="F51" s="12">
        <f>ROUND(首页!F$4*$B51,0)</f>
        <v>518</v>
      </c>
      <c r="G51" s="12">
        <f>ROUND(首页!G$4*$B51,0)</f>
        <v>518</v>
      </c>
      <c r="H51" s="11"/>
    </row>
    <row r="52" spans="1:8" ht="20.100000000000001" customHeight="1" x14ac:dyDescent="0.2">
      <c r="A52" s="12">
        <v>51</v>
      </c>
      <c r="B52" s="12">
        <f t="shared" si="0"/>
        <v>17.5</v>
      </c>
      <c r="C52" s="12">
        <f t="shared" si="1"/>
        <v>10.999999999999982</v>
      </c>
      <c r="D52" s="12">
        <f>ROUND(首页!D$4*$B52,0)</f>
        <v>24500</v>
      </c>
      <c r="E52" s="12">
        <f>ROUND(首页!E$4*$B52,0)</f>
        <v>1750</v>
      </c>
      <c r="F52" s="12">
        <f>ROUND(首页!F$4*$B52,0)</f>
        <v>525</v>
      </c>
      <c r="G52" s="12">
        <f>ROUND(首页!G$4*$B52,0)</f>
        <v>525</v>
      </c>
      <c r="H52" s="11"/>
    </row>
    <row r="53" spans="1:8" ht="20.100000000000001" customHeight="1" x14ac:dyDescent="0.2">
      <c r="A53" s="12">
        <v>52</v>
      </c>
      <c r="B53" s="12">
        <f t="shared" si="0"/>
        <v>17.75</v>
      </c>
      <c r="C53" s="12">
        <f t="shared" si="1"/>
        <v>11.119999999999981</v>
      </c>
      <c r="D53" s="12">
        <f>ROUND(首页!D$4*$B53,0)</f>
        <v>24850</v>
      </c>
      <c r="E53" s="12">
        <f>ROUND(首页!E$4*$B53,0)</f>
        <v>1775</v>
      </c>
      <c r="F53" s="12">
        <f>ROUND(首页!F$4*$B53,0)</f>
        <v>533</v>
      </c>
      <c r="G53" s="12">
        <f>ROUND(首页!G$4*$B53,0)</f>
        <v>533</v>
      </c>
    </row>
    <row r="54" spans="1:8" ht="20.100000000000001" customHeight="1" x14ac:dyDescent="0.2">
      <c r="A54" s="12">
        <v>53</v>
      </c>
      <c r="B54" s="12">
        <f t="shared" si="0"/>
        <v>18</v>
      </c>
      <c r="C54" s="12">
        <f t="shared" si="1"/>
        <v>11.239999999999981</v>
      </c>
      <c r="D54" s="12">
        <f>ROUND(首页!D$4*$B54,0)</f>
        <v>25200</v>
      </c>
      <c r="E54" s="12">
        <f>ROUND(首页!E$4*$B54,0)</f>
        <v>1800</v>
      </c>
      <c r="F54" s="12">
        <f>ROUND(首页!F$4*$B54,0)</f>
        <v>540</v>
      </c>
      <c r="G54" s="12">
        <f>ROUND(首页!G$4*$B54,0)</f>
        <v>540</v>
      </c>
    </row>
    <row r="55" spans="1:8" ht="20.100000000000001" customHeight="1" x14ac:dyDescent="0.2">
      <c r="A55" s="12">
        <v>54</v>
      </c>
      <c r="B55" s="12">
        <f t="shared" si="0"/>
        <v>18.25</v>
      </c>
      <c r="C55" s="12">
        <f t="shared" si="1"/>
        <v>11.35999999999998</v>
      </c>
      <c r="D55" s="12">
        <f>ROUND(首页!D$4*$B55,0)</f>
        <v>25550</v>
      </c>
      <c r="E55" s="12">
        <f>ROUND(首页!E$4*$B55,0)</f>
        <v>1825</v>
      </c>
      <c r="F55" s="12">
        <f>ROUND(首页!F$4*$B55,0)</f>
        <v>548</v>
      </c>
      <c r="G55" s="12">
        <f>ROUND(首页!G$4*$B55,0)</f>
        <v>548</v>
      </c>
    </row>
    <row r="56" spans="1:8" ht="20.100000000000001" customHeight="1" x14ac:dyDescent="0.2">
      <c r="A56" s="12">
        <v>55</v>
      </c>
      <c r="B56" s="12">
        <f t="shared" si="0"/>
        <v>18.5</v>
      </c>
      <c r="C56" s="12">
        <f t="shared" si="1"/>
        <v>11.479999999999979</v>
      </c>
      <c r="D56" s="12">
        <f>ROUND(首页!D$4*$B56,0)</f>
        <v>25900</v>
      </c>
      <c r="E56" s="12">
        <f>ROUND(首页!E$4*$B56,0)</f>
        <v>1850</v>
      </c>
      <c r="F56" s="12">
        <f>ROUND(首页!F$4*$B56,0)</f>
        <v>555</v>
      </c>
      <c r="G56" s="12">
        <f>ROUND(首页!G$4*$B56,0)</f>
        <v>555</v>
      </c>
    </row>
    <row r="57" spans="1:8" ht="20.100000000000001" customHeight="1" x14ac:dyDescent="0.2">
      <c r="A57" s="12">
        <v>56</v>
      </c>
      <c r="B57" s="12">
        <f t="shared" si="0"/>
        <v>18.75</v>
      </c>
      <c r="C57" s="12">
        <f t="shared" si="1"/>
        <v>11.599999999999978</v>
      </c>
      <c r="D57" s="12">
        <f>ROUND(首页!D$4*$B57,0)</f>
        <v>26250</v>
      </c>
      <c r="E57" s="12">
        <f>ROUND(首页!E$4*$B57,0)</f>
        <v>1875</v>
      </c>
      <c r="F57" s="12">
        <f>ROUND(首页!F$4*$B57,0)</f>
        <v>563</v>
      </c>
      <c r="G57" s="12">
        <f>ROUND(首页!G$4*$B57,0)</f>
        <v>563</v>
      </c>
    </row>
    <row r="58" spans="1:8" ht="20.100000000000001" customHeight="1" x14ac:dyDescent="0.2">
      <c r="A58" s="12">
        <v>57</v>
      </c>
      <c r="B58" s="12">
        <f t="shared" si="0"/>
        <v>19</v>
      </c>
      <c r="C58" s="12">
        <f t="shared" si="1"/>
        <v>11.719999999999978</v>
      </c>
      <c r="D58" s="12">
        <f>ROUND(首页!D$4*$B58,0)</f>
        <v>26600</v>
      </c>
      <c r="E58" s="12">
        <f>ROUND(首页!E$4*$B58,0)</f>
        <v>1900</v>
      </c>
      <c r="F58" s="12">
        <f>ROUND(首页!F$4*$B58,0)</f>
        <v>570</v>
      </c>
      <c r="G58" s="12">
        <f>ROUND(首页!G$4*$B58,0)</f>
        <v>570</v>
      </c>
    </row>
    <row r="59" spans="1:8" ht="20.100000000000001" customHeight="1" x14ac:dyDescent="0.2">
      <c r="A59" s="12">
        <v>58</v>
      </c>
      <c r="B59" s="12">
        <f t="shared" si="0"/>
        <v>19.25</v>
      </c>
      <c r="C59" s="12">
        <f t="shared" si="1"/>
        <v>11.839999999999977</v>
      </c>
      <c r="D59" s="12">
        <f>ROUND(首页!D$4*$B59,0)</f>
        <v>26950</v>
      </c>
      <c r="E59" s="12">
        <f>ROUND(首页!E$4*$B59,0)</f>
        <v>1925</v>
      </c>
      <c r="F59" s="12">
        <f>ROUND(首页!F$4*$B59,0)</f>
        <v>578</v>
      </c>
      <c r="G59" s="12">
        <f>ROUND(首页!G$4*$B59,0)</f>
        <v>578</v>
      </c>
    </row>
    <row r="60" spans="1:8" ht="20.100000000000001" customHeight="1" x14ac:dyDescent="0.2">
      <c r="A60" s="12">
        <v>59</v>
      </c>
      <c r="B60" s="12">
        <f t="shared" si="0"/>
        <v>19.5</v>
      </c>
      <c r="C60" s="12">
        <f t="shared" si="1"/>
        <v>11.959999999999976</v>
      </c>
      <c r="D60" s="12">
        <f>ROUND(首页!D$4*$B60,0)</f>
        <v>27300</v>
      </c>
      <c r="E60" s="12">
        <f>ROUND(首页!E$4*$B60,0)</f>
        <v>1950</v>
      </c>
      <c r="F60" s="12">
        <f>ROUND(首页!F$4*$B60,0)</f>
        <v>585</v>
      </c>
      <c r="G60" s="12">
        <f>ROUND(首页!G$4*$B60,0)</f>
        <v>585</v>
      </c>
    </row>
    <row r="61" spans="1:8" ht="20.100000000000001" customHeight="1" x14ac:dyDescent="0.2">
      <c r="A61" s="12">
        <v>60</v>
      </c>
      <c r="B61" s="12">
        <f t="shared" si="0"/>
        <v>19.75</v>
      </c>
      <c r="C61" s="12">
        <f t="shared" si="1"/>
        <v>12.079999999999975</v>
      </c>
      <c r="D61" s="12">
        <f>ROUND(首页!D$4*$B61,0)</f>
        <v>27650</v>
      </c>
      <c r="E61" s="12">
        <f>ROUND(首页!E$4*$B61,0)</f>
        <v>1975</v>
      </c>
      <c r="F61" s="12">
        <f>ROUND(首页!F$4*$B61,0)</f>
        <v>593</v>
      </c>
      <c r="G61" s="12">
        <f>ROUND(首页!G$4*$B61,0)</f>
        <v>593</v>
      </c>
    </row>
    <row r="62" spans="1:8" ht="20.100000000000001" customHeight="1" x14ac:dyDescent="0.2">
      <c r="A62" s="12">
        <v>61</v>
      </c>
      <c r="B62" s="12">
        <f t="shared" si="0"/>
        <v>20</v>
      </c>
      <c r="C62" s="12">
        <f t="shared" si="1"/>
        <v>12.199999999999974</v>
      </c>
      <c r="D62" s="12">
        <f>ROUND(首页!D$4*$B62,0)</f>
        <v>28000</v>
      </c>
      <c r="E62" s="12">
        <f>ROUND(首页!E$4*$B62,0)</f>
        <v>2000</v>
      </c>
      <c r="F62" s="12">
        <f>ROUND(首页!F$4*$B62,0)</f>
        <v>600</v>
      </c>
      <c r="G62" s="12">
        <f>ROUND(首页!G$4*$B62,0)</f>
        <v>600</v>
      </c>
    </row>
    <row r="63" spans="1:8" ht="20.100000000000001" customHeight="1" x14ac:dyDescent="0.2">
      <c r="A63" s="12">
        <v>62</v>
      </c>
      <c r="B63" s="12">
        <f t="shared" si="0"/>
        <v>20.25</v>
      </c>
      <c r="C63" s="12">
        <f t="shared" si="1"/>
        <v>12.319999999999974</v>
      </c>
      <c r="D63" s="12">
        <f>ROUND(首页!D$4*$B63,0)</f>
        <v>28350</v>
      </c>
      <c r="E63" s="12">
        <f>ROUND(首页!E$4*$B63,0)</f>
        <v>2025</v>
      </c>
      <c r="F63" s="12">
        <f>ROUND(首页!F$4*$B63,0)</f>
        <v>608</v>
      </c>
      <c r="G63" s="12">
        <f>ROUND(首页!G$4*$B63,0)</f>
        <v>608</v>
      </c>
    </row>
    <row r="64" spans="1:8" ht="20.100000000000001" customHeight="1" x14ac:dyDescent="0.2">
      <c r="A64" s="12">
        <v>63</v>
      </c>
      <c r="B64" s="12">
        <f t="shared" si="0"/>
        <v>20.5</v>
      </c>
      <c r="C64" s="12">
        <f t="shared" si="1"/>
        <v>12.439999999999973</v>
      </c>
      <c r="D64" s="12">
        <f>ROUND(首页!D$4*$B64,0)</f>
        <v>28700</v>
      </c>
      <c r="E64" s="12">
        <f>ROUND(首页!E$4*$B64,0)</f>
        <v>2050</v>
      </c>
      <c r="F64" s="12">
        <f>ROUND(首页!F$4*$B64,0)</f>
        <v>615</v>
      </c>
      <c r="G64" s="12">
        <f>ROUND(首页!G$4*$B64,0)</f>
        <v>615</v>
      </c>
    </row>
    <row r="65" spans="1:7" ht="20.100000000000001" customHeight="1" x14ac:dyDescent="0.2">
      <c r="A65" s="12">
        <v>64</v>
      </c>
      <c r="B65" s="12">
        <f t="shared" si="0"/>
        <v>20.75</v>
      </c>
      <c r="C65" s="12">
        <f t="shared" si="1"/>
        <v>12.559999999999972</v>
      </c>
      <c r="D65" s="12">
        <f>ROUND(首页!D$4*$B65,0)</f>
        <v>29050</v>
      </c>
      <c r="E65" s="12">
        <f>ROUND(首页!E$4*$B65,0)</f>
        <v>2075</v>
      </c>
      <c r="F65" s="12">
        <f>ROUND(首页!F$4*$B65,0)</f>
        <v>623</v>
      </c>
      <c r="G65" s="12">
        <f>ROUND(首页!G$4*$B65,0)</f>
        <v>623</v>
      </c>
    </row>
    <row r="66" spans="1:7" ht="20.100000000000001" customHeight="1" x14ac:dyDescent="0.2">
      <c r="A66" s="12">
        <v>65</v>
      </c>
      <c r="B66" s="12">
        <f t="shared" si="0"/>
        <v>21</v>
      </c>
      <c r="C66" s="12">
        <f t="shared" si="1"/>
        <v>12.679999999999971</v>
      </c>
      <c r="D66" s="12">
        <f>ROUND(首页!D$4*$B66,0)</f>
        <v>29400</v>
      </c>
      <c r="E66" s="12">
        <f>ROUND(首页!E$4*$B66,0)</f>
        <v>2100</v>
      </c>
      <c r="F66" s="12">
        <f>ROUND(首页!F$4*$B66,0)</f>
        <v>630</v>
      </c>
      <c r="G66" s="12">
        <f>ROUND(首页!G$4*$B66,0)</f>
        <v>630</v>
      </c>
    </row>
    <row r="67" spans="1:7" ht="20.100000000000001" customHeight="1" x14ac:dyDescent="0.2">
      <c r="A67" s="12">
        <v>66</v>
      </c>
      <c r="B67" s="12">
        <f t="shared" si="0"/>
        <v>21.25</v>
      </c>
      <c r="C67" s="12">
        <f t="shared" si="1"/>
        <v>12.799999999999971</v>
      </c>
      <c r="D67" s="12">
        <f>ROUND(首页!D$4*$B67,0)</f>
        <v>29750</v>
      </c>
      <c r="E67" s="12">
        <f>ROUND(首页!E$4*$B67,0)</f>
        <v>2125</v>
      </c>
      <c r="F67" s="12">
        <f>ROUND(首页!F$4*$B67,0)</f>
        <v>638</v>
      </c>
      <c r="G67" s="12">
        <f>ROUND(首页!G$4*$B67,0)</f>
        <v>638</v>
      </c>
    </row>
    <row r="68" spans="1:7" ht="20.100000000000001" customHeight="1" x14ac:dyDescent="0.2">
      <c r="A68" s="12">
        <v>67</v>
      </c>
      <c r="B68" s="12">
        <f t="shared" ref="B68:B71" si="2">B67+0.25</f>
        <v>21.5</v>
      </c>
      <c r="C68" s="12">
        <f t="shared" ref="C68:C71" si="3">C67+0.12</f>
        <v>12.91999999999997</v>
      </c>
      <c r="D68" s="12">
        <f>ROUND(首页!D$4*$B68,0)</f>
        <v>30100</v>
      </c>
      <c r="E68" s="12">
        <f>ROUND(首页!E$4*$B68,0)</f>
        <v>2150</v>
      </c>
      <c r="F68" s="12">
        <f>ROUND(首页!F$4*$B68,0)</f>
        <v>645</v>
      </c>
      <c r="G68" s="12">
        <f>ROUND(首页!G$4*$B68,0)</f>
        <v>645</v>
      </c>
    </row>
    <row r="69" spans="1:7" ht="20.100000000000001" customHeight="1" x14ac:dyDescent="0.2">
      <c r="A69" s="12">
        <v>68</v>
      </c>
      <c r="B69" s="12">
        <f t="shared" si="2"/>
        <v>21.75</v>
      </c>
      <c r="C69" s="12">
        <f t="shared" si="3"/>
        <v>13.039999999999969</v>
      </c>
      <c r="D69" s="12">
        <f>ROUND(首页!D$4*$B69,0)</f>
        <v>30450</v>
      </c>
      <c r="E69" s="12">
        <f>ROUND(首页!E$4*$B69,0)</f>
        <v>2175</v>
      </c>
      <c r="F69" s="12">
        <f>ROUND(首页!F$4*$B69,0)</f>
        <v>653</v>
      </c>
      <c r="G69" s="12">
        <f>ROUND(首页!G$4*$B69,0)</f>
        <v>653</v>
      </c>
    </row>
    <row r="70" spans="1:7" ht="20.100000000000001" customHeight="1" x14ac:dyDescent="0.2">
      <c r="A70" s="12">
        <v>69</v>
      </c>
      <c r="B70" s="12">
        <f t="shared" si="2"/>
        <v>22</v>
      </c>
      <c r="C70" s="12">
        <f t="shared" si="3"/>
        <v>13.159999999999968</v>
      </c>
      <c r="D70" s="12">
        <f>ROUND(首页!D$4*$B70,0)</f>
        <v>30800</v>
      </c>
      <c r="E70" s="12">
        <f>ROUND(首页!E$4*$B70,0)</f>
        <v>2200</v>
      </c>
      <c r="F70" s="12">
        <f>ROUND(首页!F$4*$B70,0)</f>
        <v>660</v>
      </c>
      <c r="G70" s="12">
        <f>ROUND(首页!G$4*$B70,0)</f>
        <v>660</v>
      </c>
    </row>
    <row r="71" spans="1:7" ht="20.100000000000001" customHeight="1" x14ac:dyDescent="0.2">
      <c r="A71" s="12">
        <v>70</v>
      </c>
      <c r="B71" s="12">
        <f t="shared" si="2"/>
        <v>22.25</v>
      </c>
      <c r="C71" s="12">
        <f t="shared" si="3"/>
        <v>13.279999999999967</v>
      </c>
      <c r="D71" s="12">
        <f>ROUND(首页!D$4*$B71,0)</f>
        <v>31150</v>
      </c>
      <c r="E71" s="12">
        <f>ROUND(首页!E$4*$B71,0)</f>
        <v>2225</v>
      </c>
      <c r="F71" s="12">
        <f>ROUND(首页!F$4*$B71,0)</f>
        <v>668</v>
      </c>
      <c r="G71" s="12">
        <f>ROUND(首页!G$4*$B71,0)</f>
        <v>668</v>
      </c>
    </row>
    <row r="72" spans="1:7" ht="20.100000000000001" customHeight="1" x14ac:dyDescent="0.2"/>
    <row r="73" spans="1:7" ht="20.100000000000001" customHeight="1" x14ac:dyDescent="0.2"/>
    <row r="74" spans="1:7" ht="20.100000000000001" customHeight="1" x14ac:dyDescent="0.2"/>
    <row r="75" spans="1:7" ht="20.100000000000001" customHeight="1" x14ac:dyDescent="0.2"/>
    <row r="76" spans="1:7" ht="20.100000000000001" customHeight="1" x14ac:dyDescent="0.2"/>
    <row r="77" spans="1:7" ht="20.100000000000001" customHeight="1" x14ac:dyDescent="0.2"/>
    <row r="78" spans="1:7" ht="20.100000000000001" customHeight="1" x14ac:dyDescent="0.2"/>
    <row r="79" spans="1:7" ht="20.100000000000001" customHeight="1" x14ac:dyDescent="0.2"/>
    <row r="80" spans="1:7" ht="20.100000000000001" customHeight="1" x14ac:dyDescent="0.2"/>
    <row r="81" ht="20.100000000000001" customHeight="1" x14ac:dyDescent="0.2"/>
    <row r="82" ht="20.100000000000001" customHeight="1" x14ac:dyDescent="0.2"/>
    <row r="83" ht="20.100000000000001" customHeight="1" x14ac:dyDescent="0.2"/>
    <row r="84" ht="20.100000000000001" customHeight="1" x14ac:dyDescent="0.2"/>
    <row r="85" ht="20.100000000000001" customHeight="1" x14ac:dyDescent="0.2"/>
    <row r="86" ht="20.100000000000001" customHeight="1" x14ac:dyDescent="0.2"/>
    <row r="87" ht="20.100000000000001" customHeight="1" x14ac:dyDescent="0.2"/>
    <row r="88" ht="20.100000000000001" customHeight="1" x14ac:dyDescent="0.2"/>
    <row r="89" ht="20.100000000000001" customHeight="1" x14ac:dyDescent="0.2"/>
    <row r="90" ht="20.100000000000001" customHeight="1" x14ac:dyDescent="0.2"/>
    <row r="91" ht="20.100000000000001" customHeight="1" x14ac:dyDescent="0.2"/>
    <row r="92" ht="20.100000000000001" customHeight="1" x14ac:dyDescent="0.2"/>
    <row r="93" ht="20.100000000000001" customHeight="1" x14ac:dyDescent="0.2"/>
    <row r="94" ht="20.100000000000001" customHeight="1" x14ac:dyDescent="0.2"/>
    <row r="95" ht="20.100000000000001" customHeight="1" x14ac:dyDescent="0.2"/>
    <row r="96" ht="20.100000000000001" customHeight="1" x14ac:dyDescent="0.2"/>
    <row r="97" ht="20.100000000000001" customHeight="1" x14ac:dyDescent="0.2"/>
    <row r="98" ht="20.100000000000001" customHeight="1" x14ac:dyDescent="0.2"/>
    <row r="99" ht="20.100000000000001" customHeight="1" x14ac:dyDescent="0.2"/>
    <row r="100" ht="20.100000000000001" customHeight="1" x14ac:dyDescent="0.2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ADC20-D65D-4079-857D-1A93B848D146}">
  <dimension ref="A1:X80"/>
  <sheetViews>
    <sheetView workbookViewId="0">
      <selection activeCell="J15" sqref="J15"/>
    </sheetView>
  </sheetViews>
  <sheetFormatPr defaultColWidth="9" defaultRowHeight="14.25" x14ac:dyDescent="0.2"/>
  <cols>
    <col min="11" max="11" width="11.375" bestFit="1" customWidth="1"/>
    <col min="24" max="24" width="11.375" bestFit="1" customWidth="1"/>
  </cols>
  <sheetData>
    <row r="1" spans="1:24" ht="20.100000000000001" customHeight="1" x14ac:dyDescent="0.2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1"/>
      <c r="R1" s="11"/>
      <c r="S1" s="11"/>
      <c r="T1" s="11"/>
      <c r="U1" s="11"/>
      <c r="V1" s="11"/>
      <c r="W1" s="11"/>
      <c r="X1" s="11"/>
    </row>
    <row r="2" spans="1:24" ht="20.100000000000001" customHeight="1" x14ac:dyDescent="0.2">
      <c r="A2" s="15"/>
      <c r="B2" s="10" t="s">
        <v>24</v>
      </c>
      <c r="C2" s="10" t="s">
        <v>7</v>
      </c>
      <c r="D2" s="10" t="s">
        <v>6</v>
      </c>
      <c r="E2" s="10"/>
      <c r="F2" s="10" t="s">
        <v>1</v>
      </c>
      <c r="G2" s="10" t="s">
        <v>0</v>
      </c>
      <c r="H2" s="10" t="s">
        <v>22</v>
      </c>
      <c r="I2" s="10" t="s">
        <v>23</v>
      </c>
      <c r="J2" s="10"/>
      <c r="K2" s="12"/>
      <c r="L2" s="10" t="s">
        <v>1</v>
      </c>
      <c r="M2" s="10" t="s">
        <v>0</v>
      </c>
      <c r="N2" s="10" t="s">
        <v>22</v>
      </c>
      <c r="O2" s="10" t="s">
        <v>23</v>
      </c>
      <c r="P2" s="10" t="s">
        <v>25</v>
      </c>
      <c r="Q2" s="11"/>
      <c r="R2" s="10" t="s">
        <v>45</v>
      </c>
      <c r="S2" s="10" t="s">
        <v>1</v>
      </c>
      <c r="T2" s="10" t="s">
        <v>26</v>
      </c>
      <c r="U2" s="10" t="s">
        <v>27</v>
      </c>
      <c r="V2" s="10" t="s">
        <v>28</v>
      </c>
      <c r="W2" s="11"/>
      <c r="X2" s="12" t="s">
        <v>29</v>
      </c>
    </row>
    <row r="3" spans="1:24" ht="20.100000000000001" customHeight="1" x14ac:dyDescent="0.2">
      <c r="A3" s="15"/>
      <c r="B3" s="12">
        <v>1</v>
      </c>
      <c r="C3" s="12">
        <v>3.4</v>
      </c>
      <c r="D3" s="12">
        <v>5</v>
      </c>
      <c r="E3" s="12"/>
      <c r="F3" s="12">
        <f>ROUND(首页!D$4*$C3,0)</f>
        <v>4760</v>
      </c>
      <c r="G3" s="12">
        <f>ROUND(首页!E$4*$C3,0)</f>
        <v>340</v>
      </c>
      <c r="H3" s="12">
        <f>ROUND(首页!F$4*$C3,0)</f>
        <v>102</v>
      </c>
      <c r="I3" s="12">
        <f>ROUND(首页!G$4*$C3,0)</f>
        <v>102</v>
      </c>
      <c r="J3" s="12"/>
      <c r="K3" s="10" t="s">
        <v>35</v>
      </c>
      <c r="L3" s="12">
        <v>0.3</v>
      </c>
      <c r="M3" s="12"/>
      <c r="N3" s="12">
        <v>0.5</v>
      </c>
      <c r="O3" s="12"/>
      <c r="P3" s="12">
        <f t="shared" ref="P3:P8" si="0">SUM(L3:O3)</f>
        <v>0.8</v>
      </c>
      <c r="R3" s="10" t="s">
        <v>30</v>
      </c>
      <c r="S3" s="12">
        <v>0.5</v>
      </c>
      <c r="T3" s="12">
        <v>1.35</v>
      </c>
      <c r="U3" s="12">
        <v>0.75</v>
      </c>
      <c r="V3" s="12">
        <v>0.75</v>
      </c>
      <c r="W3" s="11"/>
      <c r="X3" s="12">
        <f>T3+(U3+V3+S3)/3</f>
        <v>2.0166666666666666</v>
      </c>
    </row>
    <row r="4" spans="1:24" ht="20.100000000000001" customHeight="1" x14ac:dyDescent="0.2">
      <c r="A4" s="15"/>
      <c r="B4" s="12">
        <v>10</v>
      </c>
      <c r="C4" s="12">
        <f>C3+3.8</f>
        <v>7.1999999999999993</v>
      </c>
      <c r="D4" s="12">
        <v>10</v>
      </c>
      <c r="E4" s="12"/>
      <c r="F4" s="12">
        <f>ROUND(首页!D$4*$C4,0)</f>
        <v>10080</v>
      </c>
      <c r="G4" s="12">
        <f>ROUND(首页!E$4*$C4,0)</f>
        <v>720</v>
      </c>
      <c r="H4" s="12">
        <f>ROUND(首页!F$4*$C4,0)</f>
        <v>216</v>
      </c>
      <c r="I4" s="12">
        <f>ROUND(首页!G$4*$C4,0)</f>
        <v>216</v>
      </c>
      <c r="J4" s="12"/>
      <c r="K4" s="10" t="s">
        <v>36</v>
      </c>
      <c r="L4" s="12"/>
      <c r="M4" s="12">
        <v>0.5</v>
      </c>
      <c r="N4" s="12"/>
      <c r="O4" s="12"/>
      <c r="P4" s="12">
        <f t="shared" si="0"/>
        <v>0.5</v>
      </c>
      <c r="Q4" s="11"/>
      <c r="R4" s="10" t="s">
        <v>31</v>
      </c>
      <c r="S4" s="12">
        <v>1</v>
      </c>
      <c r="T4" s="12">
        <v>1</v>
      </c>
      <c r="U4" s="12">
        <v>1</v>
      </c>
      <c r="V4" s="12">
        <v>1</v>
      </c>
      <c r="W4" s="11"/>
      <c r="X4" s="12">
        <f t="shared" ref="X4:X5" si="1">T4+(U4+V4+S4)/3</f>
        <v>2</v>
      </c>
    </row>
    <row r="5" spans="1:24" ht="20.100000000000001" customHeight="1" x14ac:dyDescent="0.2">
      <c r="A5" s="15"/>
      <c r="B5" s="12">
        <v>20</v>
      </c>
      <c r="C5" s="12">
        <f t="shared" ref="C5:C10" si="2">C4+3.8</f>
        <v>11</v>
      </c>
      <c r="D5" s="12">
        <v>15</v>
      </c>
      <c r="E5" s="12"/>
      <c r="F5" s="12">
        <f>ROUND(首页!D$4*$C5,0)</f>
        <v>15400</v>
      </c>
      <c r="G5" s="12">
        <f>ROUND(首页!E$4*$C5,0)</f>
        <v>1100</v>
      </c>
      <c r="H5" s="12">
        <f>ROUND(首页!F$4*$C5,0)</f>
        <v>330</v>
      </c>
      <c r="I5" s="12">
        <f>ROUND(首页!G$4*$C5,0)</f>
        <v>330</v>
      </c>
      <c r="J5" s="12"/>
      <c r="K5" s="10" t="s">
        <v>37</v>
      </c>
      <c r="L5" s="12">
        <v>0.5</v>
      </c>
      <c r="M5" s="12"/>
      <c r="N5" s="12">
        <v>0.3</v>
      </c>
      <c r="O5" s="12"/>
      <c r="P5" s="12">
        <f t="shared" si="0"/>
        <v>0.8</v>
      </c>
      <c r="Q5" s="11"/>
      <c r="R5" s="10" t="s">
        <v>32</v>
      </c>
      <c r="S5" s="12">
        <v>1.5</v>
      </c>
      <c r="T5" s="12">
        <v>0.75</v>
      </c>
      <c r="U5" s="12">
        <v>1.25</v>
      </c>
      <c r="V5" s="12">
        <v>1.25</v>
      </c>
      <c r="W5" s="11"/>
      <c r="X5" s="12">
        <f t="shared" si="1"/>
        <v>2.083333333333333</v>
      </c>
    </row>
    <row r="6" spans="1:24" ht="20.100000000000001" customHeight="1" x14ac:dyDescent="0.2">
      <c r="A6" s="15"/>
      <c r="B6" s="12">
        <v>30</v>
      </c>
      <c r="C6" s="12">
        <f t="shared" si="2"/>
        <v>14.8</v>
      </c>
      <c r="D6" s="12">
        <v>20</v>
      </c>
      <c r="E6" s="12"/>
      <c r="F6" s="12">
        <f>ROUND(首页!D$4*$C6,0)</f>
        <v>20720</v>
      </c>
      <c r="G6" s="12">
        <f>ROUND(首页!E$4*$C6,0)</f>
        <v>1480</v>
      </c>
      <c r="H6" s="12">
        <f>ROUND(首页!F$4*$C6,0)</f>
        <v>444</v>
      </c>
      <c r="I6" s="12">
        <f>ROUND(首页!G$4*$C6,0)</f>
        <v>444</v>
      </c>
      <c r="J6" s="12"/>
      <c r="K6" s="10" t="s">
        <v>38</v>
      </c>
      <c r="L6" s="12"/>
      <c r="M6" s="12">
        <v>0.3</v>
      </c>
      <c r="N6" s="12"/>
      <c r="O6" s="12">
        <v>0.3</v>
      </c>
      <c r="P6" s="12">
        <f t="shared" si="0"/>
        <v>0.6</v>
      </c>
      <c r="Q6" s="11"/>
      <c r="R6" s="11"/>
      <c r="S6" s="11"/>
      <c r="T6" s="11"/>
      <c r="U6" s="11"/>
      <c r="V6" s="11"/>
      <c r="W6" s="11"/>
      <c r="X6" s="11"/>
    </row>
    <row r="7" spans="1:24" ht="20.100000000000001" customHeight="1" x14ac:dyDescent="0.2">
      <c r="A7" s="15"/>
      <c r="B7" s="12">
        <v>40</v>
      </c>
      <c r="C7" s="12">
        <f t="shared" si="2"/>
        <v>18.600000000000001</v>
      </c>
      <c r="D7" s="12">
        <v>25</v>
      </c>
      <c r="E7" s="12"/>
      <c r="F7" s="12">
        <f>ROUND(首页!D$4*$C7,0)</f>
        <v>26040</v>
      </c>
      <c r="G7" s="12">
        <f>ROUND(首页!E$4*$C7,0)</f>
        <v>1860</v>
      </c>
      <c r="H7" s="12">
        <f>ROUND(首页!F$4*$C7,0)</f>
        <v>558</v>
      </c>
      <c r="I7" s="12">
        <f>ROUND(首页!G$4*$C7,0)</f>
        <v>558</v>
      </c>
      <c r="J7" s="12"/>
      <c r="K7" s="10" t="s">
        <v>39</v>
      </c>
      <c r="L7" s="12"/>
      <c r="M7" s="12">
        <v>0.2</v>
      </c>
      <c r="N7" s="12"/>
      <c r="O7" s="12">
        <v>0.5</v>
      </c>
      <c r="P7" s="12">
        <f>SUM(L7:O7)</f>
        <v>0.7</v>
      </c>
      <c r="Q7" s="11"/>
      <c r="R7" s="11"/>
      <c r="S7" s="11"/>
      <c r="T7" s="11"/>
      <c r="U7" s="11"/>
      <c r="V7" s="11"/>
      <c r="W7" s="11"/>
      <c r="X7" s="11"/>
    </row>
    <row r="8" spans="1:24" ht="20.100000000000001" customHeight="1" x14ac:dyDescent="0.2">
      <c r="A8" s="15"/>
      <c r="B8" s="12">
        <v>50</v>
      </c>
      <c r="C8" s="12">
        <f t="shared" si="2"/>
        <v>22.400000000000002</v>
      </c>
      <c r="D8" s="12">
        <v>30</v>
      </c>
      <c r="E8" s="12"/>
      <c r="F8" s="12">
        <f>ROUND(首页!D$4*$C8,0)</f>
        <v>31360</v>
      </c>
      <c r="G8" s="12">
        <f>ROUND(首页!E$4*$C8,0)</f>
        <v>2240</v>
      </c>
      <c r="H8" s="12">
        <f>ROUND(首页!F$4*$C8,0)</f>
        <v>672</v>
      </c>
      <c r="I8" s="12">
        <f>ROUND(首页!G$4*$C8,0)</f>
        <v>672</v>
      </c>
      <c r="J8" s="12"/>
      <c r="K8" s="10" t="s">
        <v>40</v>
      </c>
      <c r="L8" s="12">
        <v>0.2</v>
      </c>
      <c r="M8" s="12"/>
      <c r="N8" s="12">
        <v>0.2</v>
      </c>
      <c r="O8" s="16">
        <v>0.2</v>
      </c>
      <c r="P8" s="12">
        <f t="shared" si="0"/>
        <v>0.60000000000000009</v>
      </c>
      <c r="Q8" s="11"/>
      <c r="R8" s="12"/>
      <c r="S8" s="12"/>
      <c r="T8" s="11"/>
      <c r="U8" s="11"/>
      <c r="V8" s="11"/>
      <c r="W8" s="11"/>
      <c r="X8" s="11"/>
    </row>
    <row r="9" spans="1:24" ht="20.100000000000001" customHeight="1" x14ac:dyDescent="0.2">
      <c r="A9" s="15"/>
      <c r="B9" s="12">
        <v>60</v>
      </c>
      <c r="C9" s="12">
        <f t="shared" si="2"/>
        <v>26.200000000000003</v>
      </c>
      <c r="D9" s="12">
        <v>35</v>
      </c>
      <c r="E9" s="15"/>
      <c r="F9" s="12">
        <f>ROUND(首页!D$4*$C9,0)</f>
        <v>36680</v>
      </c>
      <c r="G9" s="12">
        <f>ROUND(首页!E$4*$C9,0)</f>
        <v>2620</v>
      </c>
      <c r="H9" s="12">
        <f>ROUND(首页!F$4*$C9,0)</f>
        <v>786</v>
      </c>
      <c r="I9" s="12">
        <f>ROUND(首页!G$4*$C9,0)</f>
        <v>786</v>
      </c>
      <c r="J9" s="15"/>
      <c r="K9" s="10"/>
      <c r="L9" s="12"/>
      <c r="M9" s="12"/>
      <c r="N9" s="12"/>
      <c r="O9" s="12"/>
      <c r="P9" s="12"/>
      <c r="Q9" s="12"/>
      <c r="R9" s="12"/>
      <c r="S9" s="11"/>
      <c r="T9" s="11"/>
      <c r="U9" s="11"/>
      <c r="V9" s="11"/>
      <c r="W9" s="11"/>
      <c r="X9" s="11"/>
    </row>
    <row r="10" spans="1:24" ht="20.100000000000001" customHeight="1" x14ac:dyDescent="0.2">
      <c r="A10" s="15"/>
      <c r="B10" s="12">
        <v>70</v>
      </c>
      <c r="C10" s="12">
        <f t="shared" si="2"/>
        <v>30.000000000000004</v>
      </c>
      <c r="D10" s="12">
        <v>40</v>
      </c>
      <c r="E10" s="15"/>
      <c r="F10" s="12">
        <f>ROUND(首页!D$4*$C10,0)</f>
        <v>42000</v>
      </c>
      <c r="G10" s="12">
        <f>ROUND(首页!E$4*$C10,0)</f>
        <v>3000</v>
      </c>
      <c r="H10" s="12">
        <f>ROUND(首页!F$4*$C10,0)</f>
        <v>900</v>
      </c>
      <c r="I10" s="12">
        <f>ROUND(首页!G$4*$C10,0)</f>
        <v>900</v>
      </c>
      <c r="J10" s="15"/>
      <c r="K10" s="10" t="s">
        <v>34</v>
      </c>
      <c r="L10" s="12">
        <f>SUM(L3:L8)</f>
        <v>1</v>
      </c>
      <c r="M10" s="12">
        <f>SUM(M3:M8)</f>
        <v>1</v>
      </c>
      <c r="N10" s="12">
        <f>SUM(N3:N8)</f>
        <v>1</v>
      </c>
      <c r="O10" s="12">
        <f>SUM(O3:O8)</f>
        <v>1</v>
      </c>
      <c r="P10" s="12">
        <f t="shared" ref="M10:P10" si="3">SUM(P3:P8)</f>
        <v>4</v>
      </c>
      <c r="Q10" s="15"/>
      <c r="R10" s="12"/>
      <c r="S10" s="11"/>
      <c r="T10" s="11"/>
      <c r="U10" s="11"/>
      <c r="V10" s="11"/>
      <c r="W10" s="11"/>
      <c r="X10" s="11"/>
    </row>
    <row r="11" spans="1:24" ht="20.100000000000001" customHeight="1" x14ac:dyDescent="0.2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2"/>
      <c r="L11" s="12"/>
      <c r="M11" s="12"/>
      <c r="N11" s="12"/>
      <c r="O11" s="12"/>
      <c r="P11" s="12"/>
      <c r="Q11" s="12"/>
      <c r="R11" s="12"/>
      <c r="S11" s="11"/>
      <c r="T11" s="11"/>
      <c r="U11" s="11"/>
      <c r="V11" s="11"/>
      <c r="W11" s="11"/>
      <c r="X11" s="11"/>
    </row>
    <row r="12" spans="1:24" ht="20.100000000000001" customHeight="1" x14ac:dyDescent="0.2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2"/>
      <c r="L12" s="12"/>
      <c r="M12" s="12"/>
      <c r="N12" s="12"/>
      <c r="O12" s="12"/>
      <c r="P12" s="12"/>
      <c r="Q12" s="15"/>
      <c r="R12" s="15"/>
    </row>
    <row r="13" spans="1:24" ht="20.100000000000001" customHeight="1" x14ac:dyDescent="0.2">
      <c r="L13" s="12"/>
      <c r="M13" s="12"/>
      <c r="N13" s="12"/>
      <c r="O13" s="12"/>
      <c r="P13" s="12"/>
      <c r="Q13" s="12"/>
      <c r="R13" s="12"/>
    </row>
    <row r="14" spans="1:24" ht="20.100000000000001" customHeight="1" x14ac:dyDescent="0.2">
      <c r="B14" s="10" t="s">
        <v>33</v>
      </c>
      <c r="C14" s="10" t="s">
        <v>47</v>
      </c>
      <c r="D14" s="12"/>
      <c r="E14" s="15"/>
      <c r="F14" s="15"/>
      <c r="G14" s="15"/>
      <c r="H14" s="15"/>
      <c r="I14" s="15"/>
      <c r="J14" s="15"/>
      <c r="K14" s="17" t="s">
        <v>46</v>
      </c>
      <c r="L14" s="10" t="s">
        <v>1</v>
      </c>
      <c r="M14" s="10" t="s">
        <v>26</v>
      </c>
      <c r="N14" s="10" t="s">
        <v>27</v>
      </c>
      <c r="O14" s="10" t="s">
        <v>28</v>
      </c>
      <c r="P14" s="15"/>
      <c r="Q14" s="15"/>
      <c r="R14" s="12"/>
    </row>
    <row r="15" spans="1:24" ht="20.100000000000001" customHeight="1" x14ac:dyDescent="0.2">
      <c r="B15" s="12" t="s">
        <v>42</v>
      </c>
      <c r="C15" s="12">
        <v>0.7</v>
      </c>
      <c r="D15" s="12"/>
      <c r="E15" s="15"/>
      <c r="F15" s="15"/>
      <c r="G15" s="15"/>
      <c r="H15" s="15"/>
      <c r="I15" s="15"/>
      <c r="J15" s="15"/>
      <c r="K15" s="10" t="s">
        <v>35</v>
      </c>
      <c r="L15" s="12">
        <f>ROUND(L3*F$3,0)</f>
        <v>1428</v>
      </c>
      <c r="M15" s="12">
        <f>ROUND(M3*G$3,0)</f>
        <v>0</v>
      </c>
      <c r="N15" s="12">
        <f>ROUND(N3*H$3,0)</f>
        <v>51</v>
      </c>
      <c r="O15" s="12">
        <f>ROUND(O3*I$3,0)</f>
        <v>0</v>
      </c>
      <c r="P15" s="12"/>
      <c r="Q15" s="15"/>
      <c r="R15" s="12"/>
    </row>
    <row r="16" spans="1:24" ht="20.100000000000001" customHeight="1" x14ac:dyDescent="0.2">
      <c r="B16" s="12" t="s">
        <v>41</v>
      </c>
      <c r="C16" s="12">
        <v>0.8</v>
      </c>
      <c r="D16" s="12"/>
      <c r="E16" s="15"/>
      <c r="F16" s="15"/>
      <c r="G16" s="15"/>
      <c r="H16" s="15"/>
      <c r="I16" s="15"/>
      <c r="J16" s="15"/>
      <c r="K16" s="10" t="s">
        <v>36</v>
      </c>
      <c r="L16" s="12">
        <f>ROUND(L4*F$3,0)</f>
        <v>0</v>
      </c>
      <c r="M16" s="12">
        <f>ROUND(M4*G$3,0)</f>
        <v>170</v>
      </c>
      <c r="N16" s="12">
        <f>ROUND(N4*H$3,0)</f>
        <v>0</v>
      </c>
      <c r="O16" s="12">
        <f>ROUND(O4*I$3,0)</f>
        <v>0</v>
      </c>
    </row>
    <row r="17" spans="2:16" ht="20.100000000000001" customHeight="1" x14ac:dyDescent="0.2">
      <c r="B17" s="12" t="s">
        <v>43</v>
      </c>
      <c r="C17" s="12">
        <v>1</v>
      </c>
      <c r="D17" s="12"/>
      <c r="E17" s="12"/>
      <c r="F17" s="15"/>
      <c r="G17" s="15"/>
      <c r="H17" s="15"/>
      <c r="I17" s="15"/>
      <c r="J17" s="15"/>
      <c r="K17" s="10" t="s">
        <v>37</v>
      </c>
      <c r="L17" s="12">
        <f>ROUND(L5*F$3,0)</f>
        <v>2380</v>
      </c>
      <c r="M17" s="12">
        <f>ROUND(M5*G$3,0)</f>
        <v>0</v>
      </c>
      <c r="N17" s="12">
        <f>ROUND(N5*H$3,0)</f>
        <v>31</v>
      </c>
      <c r="O17" s="12">
        <f>ROUND(O5*I$3,0)</f>
        <v>0</v>
      </c>
    </row>
    <row r="18" spans="2:16" ht="20.100000000000001" customHeight="1" x14ac:dyDescent="0.2">
      <c r="B18" s="12" t="s">
        <v>44</v>
      </c>
      <c r="C18" s="12">
        <v>1.2</v>
      </c>
      <c r="E18" s="12"/>
      <c r="F18" s="15"/>
      <c r="G18" s="15"/>
      <c r="H18" s="15"/>
      <c r="I18" s="15"/>
      <c r="J18" s="15"/>
      <c r="K18" s="10" t="s">
        <v>38</v>
      </c>
      <c r="L18" s="12">
        <f>ROUND(L6*F$3,0)</f>
        <v>0</v>
      </c>
      <c r="M18" s="12">
        <f>ROUND(M6*G$3,0)</f>
        <v>102</v>
      </c>
      <c r="N18" s="12">
        <f>ROUND(N6*H$3,0)</f>
        <v>0</v>
      </c>
      <c r="O18" s="12">
        <f>ROUND(O6*I$3,0)</f>
        <v>31</v>
      </c>
    </row>
    <row r="19" spans="2:16" ht="20.100000000000001" customHeight="1" x14ac:dyDescent="0.2">
      <c r="E19" s="12"/>
      <c r="F19" s="15"/>
      <c r="G19" s="15"/>
      <c r="H19" s="15"/>
      <c r="I19" s="15"/>
      <c r="J19" s="15"/>
      <c r="K19" s="10" t="s">
        <v>39</v>
      </c>
      <c r="L19" s="12">
        <f>ROUND(L7*F$3,0)</f>
        <v>0</v>
      </c>
      <c r="M19" s="12">
        <f>ROUND(M7*G$3,0)</f>
        <v>68</v>
      </c>
      <c r="N19" s="12">
        <f>ROUND(N7*H$3,0)</f>
        <v>0</v>
      </c>
      <c r="O19" s="12">
        <f>ROUND(O7*I$3,0)</f>
        <v>51</v>
      </c>
    </row>
    <row r="20" spans="2:16" ht="20.100000000000001" customHeight="1" x14ac:dyDescent="0.2">
      <c r="B20" s="12"/>
      <c r="C20" s="12"/>
      <c r="D20" s="12"/>
      <c r="E20" s="12"/>
      <c r="F20" s="15"/>
      <c r="G20" s="15"/>
      <c r="H20" s="15"/>
      <c r="I20" s="15"/>
      <c r="J20" s="15"/>
      <c r="K20" s="10" t="s">
        <v>40</v>
      </c>
      <c r="L20" s="12">
        <f>ROUND(L8*F$3,0)</f>
        <v>952</v>
      </c>
      <c r="M20" s="12">
        <f>ROUND(M8*G$3,0)</f>
        <v>0</v>
      </c>
      <c r="N20" s="12">
        <f>ROUND(N8*H$3,0)</f>
        <v>20</v>
      </c>
      <c r="O20" s="12">
        <f>ROUND(O8*I$3,0)</f>
        <v>20</v>
      </c>
    </row>
    <row r="21" spans="2:16" ht="20.100000000000001" customHeight="1" x14ac:dyDescent="0.2">
      <c r="C21" s="12"/>
      <c r="D21" s="12"/>
      <c r="E21" s="12"/>
      <c r="F21" s="15"/>
      <c r="G21" s="15"/>
      <c r="H21" s="15"/>
      <c r="I21" s="15"/>
      <c r="J21" s="15"/>
    </row>
    <row r="22" spans="2:16" ht="20.100000000000001" customHeight="1" x14ac:dyDescent="0.2">
      <c r="B22" s="11"/>
      <c r="C22" s="12"/>
      <c r="D22" s="12"/>
      <c r="E22" s="15"/>
      <c r="F22" s="15"/>
      <c r="G22" s="15"/>
      <c r="H22" s="15"/>
      <c r="I22" s="15"/>
      <c r="J22" s="15"/>
    </row>
    <row r="23" spans="2:16" ht="20.100000000000001" customHeight="1" x14ac:dyDescent="0.2">
      <c r="B23" s="11"/>
      <c r="C23" s="12"/>
      <c r="D23" s="12"/>
      <c r="E23" s="15"/>
      <c r="F23" s="15"/>
      <c r="G23" s="15"/>
      <c r="H23" s="15"/>
      <c r="I23" s="15"/>
      <c r="J23" s="15"/>
    </row>
    <row r="24" spans="2:16" ht="20.100000000000001" customHeight="1" x14ac:dyDescent="0.2">
      <c r="B24" s="11"/>
      <c r="C24" s="12"/>
      <c r="D24" s="12"/>
      <c r="E24" s="15"/>
      <c r="F24" s="15"/>
      <c r="G24" s="15"/>
      <c r="H24" s="15"/>
      <c r="I24" s="15"/>
      <c r="J24" s="15"/>
    </row>
    <row r="25" spans="2:16" ht="20.100000000000001" customHeight="1" x14ac:dyDescent="0.2">
      <c r="B25" s="11"/>
      <c r="C25" s="12"/>
      <c r="D25" s="12"/>
      <c r="E25" s="15"/>
      <c r="F25" s="15"/>
      <c r="G25" s="15"/>
      <c r="H25" s="15"/>
      <c r="I25" s="15"/>
      <c r="J25" s="15"/>
    </row>
    <row r="26" spans="2:16" ht="20.100000000000001" customHeight="1" x14ac:dyDescent="0.2">
      <c r="K26" s="12"/>
      <c r="L26" s="12"/>
      <c r="M26" s="12"/>
      <c r="N26" s="12"/>
      <c r="O26" s="12"/>
      <c r="P26" s="12"/>
    </row>
    <row r="27" spans="2:16" ht="20.100000000000001" customHeight="1" x14ac:dyDescent="0.2">
      <c r="K27" s="12"/>
      <c r="L27" s="12"/>
      <c r="M27" s="12"/>
      <c r="N27" s="12"/>
      <c r="O27" s="12"/>
      <c r="P27" s="12"/>
    </row>
    <row r="28" spans="2:16" ht="20.100000000000001" customHeight="1" x14ac:dyDescent="0.2"/>
    <row r="29" spans="2:16" ht="20.100000000000001" customHeight="1" x14ac:dyDescent="0.2"/>
    <row r="30" spans="2:16" ht="20.100000000000001" customHeight="1" x14ac:dyDescent="0.2"/>
    <row r="31" spans="2:16" ht="20.100000000000001" customHeight="1" x14ac:dyDescent="0.2"/>
    <row r="32" spans="2:16" ht="20.100000000000001" customHeight="1" x14ac:dyDescent="0.2"/>
    <row r="33" ht="20.100000000000001" customHeight="1" x14ac:dyDescent="0.2"/>
    <row r="34" ht="20.100000000000001" customHeight="1" x14ac:dyDescent="0.2"/>
    <row r="35" ht="20.100000000000001" customHeight="1" x14ac:dyDescent="0.2"/>
    <row r="36" ht="20.100000000000001" customHeight="1" x14ac:dyDescent="0.2"/>
    <row r="37" ht="20.100000000000001" customHeight="1" x14ac:dyDescent="0.2"/>
    <row r="38" ht="20.100000000000001" customHeight="1" x14ac:dyDescent="0.2"/>
    <row r="39" ht="20.100000000000001" customHeight="1" x14ac:dyDescent="0.2"/>
    <row r="40" ht="20.100000000000001" customHeight="1" x14ac:dyDescent="0.2"/>
    <row r="41" ht="20.100000000000001" customHeight="1" x14ac:dyDescent="0.2"/>
    <row r="42" ht="20.100000000000001" customHeight="1" x14ac:dyDescent="0.2"/>
    <row r="43" ht="20.100000000000001" customHeight="1" x14ac:dyDescent="0.2"/>
    <row r="44" ht="20.100000000000001" customHeight="1" x14ac:dyDescent="0.2"/>
    <row r="45" ht="20.100000000000001" customHeight="1" x14ac:dyDescent="0.2"/>
    <row r="46" ht="20.100000000000001" customHeight="1" x14ac:dyDescent="0.2"/>
    <row r="47" ht="20.100000000000001" customHeight="1" x14ac:dyDescent="0.2"/>
    <row r="48" ht="20.100000000000001" customHeight="1" x14ac:dyDescent="0.2"/>
    <row r="49" ht="20.100000000000001" customHeight="1" x14ac:dyDescent="0.2"/>
    <row r="50" ht="20.100000000000001" customHeight="1" x14ac:dyDescent="0.2"/>
    <row r="51" ht="20.100000000000001" customHeight="1" x14ac:dyDescent="0.2"/>
    <row r="52" ht="20.100000000000001" customHeight="1" x14ac:dyDescent="0.2"/>
    <row r="53" ht="20.100000000000001" customHeight="1" x14ac:dyDescent="0.2"/>
    <row r="54" ht="20.100000000000001" customHeight="1" x14ac:dyDescent="0.2"/>
    <row r="55" ht="20.100000000000001" customHeight="1" x14ac:dyDescent="0.2"/>
    <row r="56" ht="20.100000000000001" customHeight="1" x14ac:dyDescent="0.2"/>
    <row r="57" ht="20.100000000000001" customHeight="1" x14ac:dyDescent="0.2"/>
    <row r="58" ht="20.100000000000001" customHeight="1" x14ac:dyDescent="0.2"/>
    <row r="59" ht="20.100000000000001" customHeight="1" x14ac:dyDescent="0.2"/>
    <row r="60" ht="20.100000000000001" customHeight="1" x14ac:dyDescent="0.2"/>
    <row r="61" ht="20.100000000000001" customHeight="1" x14ac:dyDescent="0.2"/>
    <row r="62" ht="20.100000000000001" customHeight="1" x14ac:dyDescent="0.2"/>
    <row r="63" ht="20.100000000000001" customHeight="1" x14ac:dyDescent="0.2"/>
    <row r="64" ht="20.100000000000001" customHeight="1" x14ac:dyDescent="0.2"/>
    <row r="65" ht="20.100000000000001" customHeight="1" x14ac:dyDescent="0.2"/>
    <row r="66" ht="20.100000000000001" customHeight="1" x14ac:dyDescent="0.2"/>
    <row r="67" ht="20.100000000000001" customHeight="1" x14ac:dyDescent="0.2"/>
    <row r="68" ht="20.100000000000001" customHeight="1" x14ac:dyDescent="0.2"/>
    <row r="69" ht="20.100000000000001" customHeight="1" x14ac:dyDescent="0.2"/>
    <row r="70" ht="20.100000000000001" customHeight="1" x14ac:dyDescent="0.2"/>
    <row r="71" ht="20.100000000000001" customHeight="1" x14ac:dyDescent="0.2"/>
    <row r="72" ht="20.100000000000001" customHeight="1" x14ac:dyDescent="0.2"/>
    <row r="73" ht="20.100000000000001" customHeight="1" x14ac:dyDescent="0.2"/>
    <row r="74" ht="20.100000000000001" customHeight="1" x14ac:dyDescent="0.2"/>
    <row r="75" ht="20.100000000000001" customHeight="1" x14ac:dyDescent="0.2"/>
    <row r="76" ht="20.100000000000001" customHeight="1" x14ac:dyDescent="0.2"/>
    <row r="77" ht="20.100000000000001" customHeight="1" x14ac:dyDescent="0.2"/>
    <row r="78" ht="20.100000000000001" customHeight="1" x14ac:dyDescent="0.2"/>
    <row r="79" ht="20.100000000000001" customHeight="1" x14ac:dyDescent="0.2"/>
    <row r="80" ht="20.100000000000001" customHeight="1" x14ac:dyDescent="0.2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8F407-B63B-4BFE-9F6E-3440291EC06D}">
  <dimension ref="A1:S150"/>
  <sheetViews>
    <sheetView workbookViewId="0">
      <selection activeCell="M10" sqref="M1:T10"/>
    </sheetView>
  </sheetViews>
  <sheetFormatPr defaultRowHeight="14.25" x14ac:dyDescent="0.2"/>
  <cols>
    <col min="1" max="1" width="9" style="12"/>
    <col min="3" max="4" width="12.25" bestFit="1" customWidth="1"/>
    <col min="5" max="5" width="12.25" customWidth="1"/>
    <col min="6" max="6" width="12.25" bestFit="1" customWidth="1"/>
    <col min="11" max="11" width="10.5" customWidth="1"/>
    <col min="12" max="12" width="10.375" customWidth="1"/>
    <col min="13" max="13" width="10.25" customWidth="1"/>
    <col min="16" max="17" width="9" style="20"/>
  </cols>
  <sheetData>
    <row r="1" spans="1:19" ht="20.100000000000001" customHeight="1" x14ac:dyDescent="0.2">
      <c r="A1" s="10" t="s">
        <v>48</v>
      </c>
      <c r="B1" s="10" t="s">
        <v>49</v>
      </c>
      <c r="C1" s="10" t="s">
        <v>50</v>
      </c>
      <c r="D1" s="10" t="s">
        <v>20</v>
      </c>
      <c r="E1" s="10" t="s">
        <v>53</v>
      </c>
      <c r="F1" s="10" t="s">
        <v>21</v>
      </c>
      <c r="G1" s="10" t="s">
        <v>1</v>
      </c>
      <c r="H1" s="10" t="s">
        <v>0</v>
      </c>
      <c r="I1" s="10" t="s">
        <v>22</v>
      </c>
      <c r="J1" s="10" t="s">
        <v>23</v>
      </c>
      <c r="K1" s="12"/>
      <c r="L1" s="12"/>
      <c r="M1" s="12"/>
      <c r="N1" s="10" t="s">
        <v>54</v>
      </c>
      <c r="O1" s="12" t="s">
        <v>55</v>
      </c>
    </row>
    <row r="2" spans="1:19" ht="20.100000000000001" customHeight="1" x14ac:dyDescent="0.2">
      <c r="A2" s="12">
        <f>100+B2</f>
        <v>101</v>
      </c>
      <c r="B2" s="12">
        <v>1</v>
      </c>
      <c r="C2" s="12">
        <v>0.5</v>
      </c>
      <c r="D2" s="12">
        <v>1</v>
      </c>
      <c r="E2" s="12">
        <v>0</v>
      </c>
      <c r="F2" s="12">
        <f>D2</f>
        <v>1</v>
      </c>
      <c r="G2" s="12">
        <f>$D2*[1]总表!D$4</f>
        <v>1050</v>
      </c>
      <c r="H2" s="12">
        <f>$F2*[1]总表!E$4</f>
        <v>100</v>
      </c>
      <c r="I2" s="12">
        <f>$F2*[1]总表!F$4</f>
        <v>30</v>
      </c>
      <c r="J2" s="12">
        <f>$F2*[1]总表!G$4</f>
        <v>30</v>
      </c>
      <c r="K2" s="12"/>
      <c r="L2" s="12"/>
      <c r="M2" s="12"/>
      <c r="N2" s="10">
        <v>1</v>
      </c>
      <c r="O2" s="12">
        <v>5</v>
      </c>
      <c r="P2" s="16">
        <v>1</v>
      </c>
      <c r="Q2" s="16">
        <f>P2+O2</f>
        <v>6</v>
      </c>
      <c r="S2" s="16">
        <f>LOOKUP(N2,$B$2:$B$71,$F$2:$F$71)</f>
        <v>1</v>
      </c>
    </row>
    <row r="3" spans="1:19" ht="20.100000000000001" customHeight="1" x14ac:dyDescent="0.2">
      <c r="A3" s="12">
        <f t="shared" ref="A3:A66" si="0">100+B3</f>
        <v>102</v>
      </c>
      <c r="B3" s="12">
        <v>2</v>
      </c>
      <c r="C3" s="12">
        <v>0.5</v>
      </c>
      <c r="D3" s="12">
        <f>D2+C2</f>
        <v>1.5</v>
      </c>
      <c r="E3" s="12">
        <v>0.5</v>
      </c>
      <c r="F3" s="12">
        <f>E3+F2</f>
        <v>1.5</v>
      </c>
      <c r="G3" s="12">
        <f>$D3*[1]总表!D$4</f>
        <v>1575</v>
      </c>
      <c r="H3" s="12">
        <f>$F3*[1]总表!E$4</f>
        <v>150</v>
      </c>
      <c r="I3" s="12">
        <f>$F3*[1]总表!F$4</f>
        <v>45</v>
      </c>
      <c r="J3" s="12">
        <f>$F3*[1]总表!G$4</f>
        <v>45</v>
      </c>
      <c r="K3" s="12"/>
      <c r="L3" s="12"/>
      <c r="M3" s="12"/>
      <c r="N3" s="10">
        <v>10</v>
      </c>
      <c r="O3" s="12">
        <v>10</v>
      </c>
      <c r="P3" s="16">
        <v>3</v>
      </c>
      <c r="Q3" s="16">
        <f t="shared" ref="Q3:Q9" si="1">P3+O3</f>
        <v>13</v>
      </c>
      <c r="S3" s="16">
        <f t="shared" ref="S3:S9" si="2">LOOKUP(N3,$B$2:$B$71,$F$2:$F$71)</f>
        <v>8</v>
      </c>
    </row>
    <row r="4" spans="1:19" ht="20.100000000000001" customHeight="1" x14ac:dyDescent="0.2">
      <c r="A4" s="12">
        <f t="shared" si="0"/>
        <v>103</v>
      </c>
      <c r="B4" s="12">
        <v>3</v>
      </c>
      <c r="C4" s="12">
        <v>0.5</v>
      </c>
      <c r="D4" s="12">
        <f t="shared" ref="D4:D67" si="3">D3+C3</f>
        <v>2</v>
      </c>
      <c r="E4" s="12">
        <v>0.5</v>
      </c>
      <c r="F4" s="12">
        <f t="shared" ref="F4:F67" si="4">E4+F3</f>
        <v>2</v>
      </c>
      <c r="G4" s="12">
        <f>$D4*[1]总表!D$4</f>
        <v>2100</v>
      </c>
      <c r="H4" s="12">
        <f>$F4*[1]总表!E$4</f>
        <v>200</v>
      </c>
      <c r="I4" s="12">
        <f>$F4*[1]总表!F$4</f>
        <v>60</v>
      </c>
      <c r="J4" s="12">
        <f>$F4*[1]总表!G$4</f>
        <v>60</v>
      </c>
      <c r="K4" s="12"/>
      <c r="L4" s="12"/>
      <c r="M4" s="12"/>
      <c r="N4" s="10">
        <v>20</v>
      </c>
      <c r="O4" s="12">
        <v>15</v>
      </c>
      <c r="P4" s="16">
        <v>5</v>
      </c>
      <c r="Q4" s="16">
        <f t="shared" si="1"/>
        <v>20</v>
      </c>
      <c r="S4" s="16">
        <f t="shared" si="2"/>
        <v>19</v>
      </c>
    </row>
    <row r="5" spans="1:19" ht="20.100000000000001" customHeight="1" x14ac:dyDescent="0.2">
      <c r="A5" s="12">
        <f t="shared" si="0"/>
        <v>104</v>
      </c>
      <c r="B5" s="12">
        <v>4</v>
      </c>
      <c r="C5" s="12">
        <v>0.5</v>
      </c>
      <c r="D5" s="12">
        <f t="shared" si="3"/>
        <v>2.5</v>
      </c>
      <c r="E5" s="12">
        <v>0.5</v>
      </c>
      <c r="F5" s="12">
        <f t="shared" si="4"/>
        <v>2.5</v>
      </c>
      <c r="G5" s="12">
        <f>$D5*[1]总表!D$4</f>
        <v>2625</v>
      </c>
      <c r="H5" s="12">
        <f>$F5*[1]总表!E$4</f>
        <v>250</v>
      </c>
      <c r="I5" s="12">
        <f>$F5*[1]总表!F$4</f>
        <v>75</v>
      </c>
      <c r="J5" s="12">
        <f>$F5*[1]总表!G$4</f>
        <v>75</v>
      </c>
      <c r="K5" s="12"/>
      <c r="L5" s="12"/>
      <c r="M5" s="12"/>
      <c r="N5" s="10">
        <v>30</v>
      </c>
      <c r="O5" s="12">
        <v>20</v>
      </c>
      <c r="P5" s="16">
        <v>7</v>
      </c>
      <c r="Q5" s="16">
        <f t="shared" si="1"/>
        <v>27</v>
      </c>
      <c r="S5" s="16">
        <f t="shared" si="2"/>
        <v>26.5</v>
      </c>
    </row>
    <row r="6" spans="1:19" ht="20.100000000000001" customHeight="1" x14ac:dyDescent="0.2">
      <c r="A6" s="12">
        <f t="shared" si="0"/>
        <v>105</v>
      </c>
      <c r="B6" s="12">
        <v>5</v>
      </c>
      <c r="C6" s="12">
        <v>0.5</v>
      </c>
      <c r="D6" s="12">
        <f t="shared" si="3"/>
        <v>3</v>
      </c>
      <c r="E6" s="12">
        <v>0.5</v>
      </c>
      <c r="F6" s="12">
        <f t="shared" si="4"/>
        <v>3</v>
      </c>
      <c r="G6" s="12">
        <f>$D6*[1]总表!D$4</f>
        <v>3150</v>
      </c>
      <c r="H6" s="12">
        <f>$F6*[1]总表!E$4</f>
        <v>300</v>
      </c>
      <c r="I6" s="12">
        <f>$F6*[1]总表!F$4</f>
        <v>90</v>
      </c>
      <c r="J6" s="12">
        <f>$F6*[1]总表!G$4</f>
        <v>90</v>
      </c>
      <c r="K6" s="12"/>
      <c r="L6" s="12"/>
      <c r="M6" s="12"/>
      <c r="N6" s="10">
        <v>40</v>
      </c>
      <c r="O6" s="12">
        <v>25</v>
      </c>
      <c r="P6" s="16">
        <v>9</v>
      </c>
      <c r="Q6" s="16">
        <f t="shared" si="1"/>
        <v>34</v>
      </c>
      <c r="S6" s="16">
        <f t="shared" si="2"/>
        <v>35</v>
      </c>
    </row>
    <row r="7" spans="1:19" ht="20.100000000000001" customHeight="1" x14ac:dyDescent="0.2">
      <c r="A7" s="12">
        <f t="shared" si="0"/>
        <v>106</v>
      </c>
      <c r="B7" s="12">
        <v>6</v>
      </c>
      <c r="C7" s="12">
        <v>0.5</v>
      </c>
      <c r="D7" s="12">
        <f t="shared" si="3"/>
        <v>3.5</v>
      </c>
      <c r="E7" s="12">
        <v>1</v>
      </c>
      <c r="F7" s="12">
        <f t="shared" si="4"/>
        <v>4</v>
      </c>
      <c r="G7" s="12">
        <f>$D7*[1]总表!D$4</f>
        <v>3675</v>
      </c>
      <c r="H7" s="12">
        <f>$F7*[1]总表!E$4</f>
        <v>400</v>
      </c>
      <c r="I7" s="12">
        <f>$F7*[1]总表!F$4</f>
        <v>120</v>
      </c>
      <c r="J7" s="12">
        <f>$F7*[1]总表!G$4</f>
        <v>120</v>
      </c>
      <c r="K7" s="12"/>
      <c r="L7" s="12"/>
      <c r="M7" s="12"/>
      <c r="N7" s="10">
        <v>50</v>
      </c>
      <c r="O7" s="12">
        <v>30</v>
      </c>
      <c r="P7" s="16">
        <v>11</v>
      </c>
      <c r="Q7" s="16">
        <f t="shared" si="1"/>
        <v>41</v>
      </c>
      <c r="S7" s="16">
        <f t="shared" si="2"/>
        <v>43.5</v>
      </c>
    </row>
    <row r="8" spans="1:19" ht="20.100000000000001" customHeight="1" x14ac:dyDescent="0.2">
      <c r="A8" s="12">
        <f t="shared" si="0"/>
        <v>107</v>
      </c>
      <c r="B8" s="12">
        <v>7</v>
      </c>
      <c r="C8" s="12">
        <v>0.5</v>
      </c>
      <c r="D8" s="12">
        <f t="shared" si="3"/>
        <v>4</v>
      </c>
      <c r="E8" s="12">
        <v>1</v>
      </c>
      <c r="F8" s="12">
        <f t="shared" si="4"/>
        <v>5</v>
      </c>
      <c r="G8" s="12">
        <f>$D8*[1]总表!D$4</f>
        <v>4200</v>
      </c>
      <c r="H8" s="12">
        <f>$F8*[1]总表!E$4</f>
        <v>500</v>
      </c>
      <c r="I8" s="12">
        <f>$F8*[1]总表!F$4</f>
        <v>150</v>
      </c>
      <c r="J8" s="12">
        <f>$F8*[1]总表!G$4</f>
        <v>150</v>
      </c>
      <c r="K8" s="12"/>
      <c r="L8" s="12"/>
      <c r="M8" s="12"/>
      <c r="N8" s="10">
        <v>60</v>
      </c>
      <c r="O8" s="12">
        <v>35</v>
      </c>
      <c r="P8" s="16">
        <v>13</v>
      </c>
      <c r="Q8" s="16">
        <f t="shared" si="1"/>
        <v>48</v>
      </c>
      <c r="S8" s="16">
        <f t="shared" si="2"/>
        <v>53</v>
      </c>
    </row>
    <row r="9" spans="1:19" ht="20.100000000000001" customHeight="1" x14ac:dyDescent="0.2">
      <c r="A9" s="12">
        <f t="shared" si="0"/>
        <v>108</v>
      </c>
      <c r="B9" s="12">
        <v>8</v>
      </c>
      <c r="C9" s="12">
        <v>0.5</v>
      </c>
      <c r="D9" s="12">
        <f t="shared" si="3"/>
        <v>4.5</v>
      </c>
      <c r="E9" s="12">
        <v>1</v>
      </c>
      <c r="F9" s="12">
        <f t="shared" si="4"/>
        <v>6</v>
      </c>
      <c r="G9" s="12">
        <f>$D9*[1]总表!D$4</f>
        <v>4725</v>
      </c>
      <c r="H9" s="12">
        <f>$F9*[1]总表!E$4</f>
        <v>600</v>
      </c>
      <c r="I9" s="12">
        <f>$F9*[1]总表!F$4</f>
        <v>180</v>
      </c>
      <c r="J9" s="12">
        <f>$F9*[1]总表!G$4</f>
        <v>180</v>
      </c>
      <c r="K9" s="12"/>
      <c r="L9" s="12"/>
      <c r="M9" s="12"/>
      <c r="N9" s="10">
        <v>70</v>
      </c>
      <c r="O9" s="12">
        <v>40</v>
      </c>
      <c r="P9" s="16">
        <v>15</v>
      </c>
      <c r="Q9" s="16">
        <f t="shared" si="1"/>
        <v>55</v>
      </c>
      <c r="S9" s="16">
        <f t="shared" si="2"/>
        <v>58</v>
      </c>
    </row>
    <row r="10" spans="1:19" ht="20.100000000000001" customHeight="1" x14ac:dyDescent="0.2">
      <c r="A10" s="12">
        <f t="shared" si="0"/>
        <v>109</v>
      </c>
      <c r="B10" s="12">
        <v>9</v>
      </c>
      <c r="C10" s="12">
        <v>0.5</v>
      </c>
      <c r="D10" s="12">
        <f t="shared" si="3"/>
        <v>5</v>
      </c>
      <c r="E10" s="12">
        <v>1</v>
      </c>
      <c r="F10" s="12">
        <f t="shared" si="4"/>
        <v>7</v>
      </c>
      <c r="G10" s="12">
        <f>$D10*[1]总表!D$4</f>
        <v>5250</v>
      </c>
      <c r="H10" s="12">
        <f>$F10*[1]总表!E$4</f>
        <v>700</v>
      </c>
      <c r="I10" s="12">
        <f>$F10*[1]总表!F$4</f>
        <v>210</v>
      </c>
      <c r="J10" s="12">
        <f>$F10*[1]总表!G$4</f>
        <v>210</v>
      </c>
      <c r="K10" s="12"/>
      <c r="L10" s="12"/>
      <c r="M10" s="12"/>
    </row>
    <row r="11" spans="1:19" ht="20.100000000000001" customHeight="1" x14ac:dyDescent="0.2">
      <c r="A11" s="12">
        <f t="shared" si="0"/>
        <v>110</v>
      </c>
      <c r="B11" s="12">
        <v>10</v>
      </c>
      <c r="C11" s="12">
        <v>0.5</v>
      </c>
      <c r="D11" s="12">
        <f t="shared" si="3"/>
        <v>5.5</v>
      </c>
      <c r="E11" s="12">
        <v>1</v>
      </c>
      <c r="F11" s="12">
        <f t="shared" si="4"/>
        <v>8</v>
      </c>
      <c r="G11" s="12">
        <f>$D11*[1]总表!D$4</f>
        <v>5775</v>
      </c>
      <c r="H11" s="12">
        <f>$F11*[1]总表!E$4</f>
        <v>800</v>
      </c>
      <c r="I11" s="12">
        <f>$F11*[1]总表!F$4</f>
        <v>240</v>
      </c>
      <c r="J11" s="12">
        <f>$F11*[1]总表!G$4</f>
        <v>240</v>
      </c>
      <c r="K11" s="12"/>
      <c r="L11" s="12"/>
      <c r="M11" s="12"/>
    </row>
    <row r="12" spans="1:19" ht="20.100000000000001" customHeight="1" x14ac:dyDescent="0.2">
      <c r="A12" s="12">
        <f t="shared" si="0"/>
        <v>111</v>
      </c>
      <c r="B12" s="12">
        <v>11</v>
      </c>
      <c r="C12" s="12">
        <v>0.5</v>
      </c>
      <c r="D12" s="12">
        <f t="shared" si="3"/>
        <v>6</v>
      </c>
      <c r="E12" s="12">
        <v>1</v>
      </c>
      <c r="F12" s="12">
        <f t="shared" si="4"/>
        <v>9</v>
      </c>
      <c r="G12" s="12">
        <f>$D12*[1]总表!D$4</f>
        <v>6300</v>
      </c>
      <c r="H12" s="12">
        <f>$F12*[1]总表!E$4</f>
        <v>900</v>
      </c>
      <c r="I12" s="12">
        <f>$F12*[1]总表!F$4</f>
        <v>270</v>
      </c>
      <c r="J12" s="12">
        <f>$F12*[1]总表!G$4</f>
        <v>270</v>
      </c>
      <c r="K12" s="12"/>
      <c r="L12" s="12"/>
      <c r="M12" s="12"/>
    </row>
    <row r="13" spans="1:19" ht="20.100000000000001" customHeight="1" x14ac:dyDescent="0.2">
      <c r="A13" s="12">
        <f t="shared" si="0"/>
        <v>112</v>
      </c>
      <c r="B13" s="12">
        <v>12</v>
      </c>
      <c r="C13" s="12">
        <v>0.5</v>
      </c>
      <c r="D13" s="12">
        <f t="shared" si="3"/>
        <v>6.5</v>
      </c>
      <c r="E13" s="12">
        <v>1</v>
      </c>
      <c r="F13" s="12">
        <f t="shared" si="4"/>
        <v>10</v>
      </c>
      <c r="G13" s="12">
        <f>$D13*[1]总表!D$4</f>
        <v>6825</v>
      </c>
      <c r="H13" s="12">
        <f>$F13*[1]总表!E$4</f>
        <v>1000</v>
      </c>
      <c r="I13" s="12">
        <f>$F13*[1]总表!F$4</f>
        <v>300</v>
      </c>
      <c r="J13" s="12">
        <f>$F13*[1]总表!G$4</f>
        <v>300</v>
      </c>
      <c r="K13" s="12"/>
      <c r="L13" s="12"/>
      <c r="M13" s="12"/>
    </row>
    <row r="14" spans="1:19" ht="20.100000000000001" customHeight="1" x14ac:dyDescent="0.2">
      <c r="A14" s="12">
        <f t="shared" si="0"/>
        <v>113</v>
      </c>
      <c r="B14" s="12">
        <v>13</v>
      </c>
      <c r="C14" s="12">
        <v>0.5</v>
      </c>
      <c r="D14" s="12">
        <f t="shared" si="3"/>
        <v>7</v>
      </c>
      <c r="E14" s="12">
        <v>1</v>
      </c>
      <c r="F14" s="12">
        <f t="shared" si="4"/>
        <v>11</v>
      </c>
      <c r="G14" s="12">
        <f>$D14*[1]总表!D$4</f>
        <v>7350</v>
      </c>
      <c r="H14" s="12">
        <f>$F14*[1]总表!E$4</f>
        <v>1100</v>
      </c>
      <c r="I14" s="12">
        <f>$F14*[1]总表!F$4</f>
        <v>330</v>
      </c>
      <c r="J14" s="12">
        <f>$F14*[1]总表!G$4</f>
        <v>330</v>
      </c>
      <c r="K14" s="12"/>
      <c r="L14" s="12"/>
      <c r="M14" s="12"/>
    </row>
    <row r="15" spans="1:19" ht="20.100000000000001" customHeight="1" x14ac:dyDescent="0.2">
      <c r="A15" s="12">
        <f t="shared" si="0"/>
        <v>114</v>
      </c>
      <c r="B15" s="12">
        <v>14</v>
      </c>
      <c r="C15" s="12">
        <v>0.5</v>
      </c>
      <c r="D15" s="12">
        <f t="shared" si="3"/>
        <v>7.5</v>
      </c>
      <c r="E15" s="12">
        <v>1</v>
      </c>
      <c r="F15" s="12">
        <f t="shared" si="4"/>
        <v>12</v>
      </c>
      <c r="G15" s="12">
        <f>$D15*[1]总表!D$4</f>
        <v>7875</v>
      </c>
      <c r="H15" s="12">
        <f>$F15*[1]总表!E$4</f>
        <v>1200</v>
      </c>
      <c r="I15" s="12">
        <f>$F15*[1]总表!F$4</f>
        <v>360</v>
      </c>
      <c r="J15" s="12">
        <f>$F15*[1]总表!G$4</f>
        <v>360</v>
      </c>
      <c r="K15" s="12"/>
      <c r="L15" s="12"/>
      <c r="M15" s="12"/>
    </row>
    <row r="16" spans="1:19" ht="20.100000000000001" customHeight="1" x14ac:dyDescent="0.2">
      <c r="A16" s="12">
        <f t="shared" si="0"/>
        <v>115</v>
      </c>
      <c r="B16" s="12">
        <v>15</v>
      </c>
      <c r="C16" s="12">
        <v>0.5</v>
      </c>
      <c r="D16" s="12">
        <f t="shared" si="3"/>
        <v>8</v>
      </c>
      <c r="E16" s="12">
        <v>1</v>
      </c>
      <c r="F16" s="12">
        <f t="shared" si="4"/>
        <v>13</v>
      </c>
      <c r="G16" s="12">
        <f>$D16*[1]总表!D$4</f>
        <v>8400</v>
      </c>
      <c r="H16" s="12">
        <f>$F16*[1]总表!E$4</f>
        <v>1300</v>
      </c>
      <c r="I16" s="12">
        <f>$F16*[1]总表!F$4</f>
        <v>390</v>
      </c>
      <c r="J16" s="12">
        <f>$F16*[1]总表!G$4</f>
        <v>390</v>
      </c>
      <c r="K16" s="12"/>
      <c r="L16" s="12"/>
      <c r="M16" s="12"/>
    </row>
    <row r="17" spans="1:13" ht="20.100000000000001" customHeight="1" x14ac:dyDescent="0.2">
      <c r="A17" s="12">
        <f t="shared" si="0"/>
        <v>116</v>
      </c>
      <c r="B17" s="12">
        <v>16</v>
      </c>
      <c r="C17" s="12">
        <v>0.5</v>
      </c>
      <c r="D17" s="12">
        <f t="shared" si="3"/>
        <v>8.5</v>
      </c>
      <c r="E17" s="12">
        <v>1</v>
      </c>
      <c r="F17" s="12">
        <f t="shared" si="4"/>
        <v>14</v>
      </c>
      <c r="G17" s="12">
        <f>$D17*[1]总表!D$4</f>
        <v>8925</v>
      </c>
      <c r="H17" s="12">
        <f>$F17*[1]总表!E$4</f>
        <v>1400</v>
      </c>
      <c r="I17" s="12">
        <f>$F17*[1]总表!F$4</f>
        <v>420</v>
      </c>
      <c r="J17" s="12">
        <f>$F17*[1]总表!G$4</f>
        <v>420</v>
      </c>
      <c r="K17" s="12"/>
      <c r="L17" s="12"/>
      <c r="M17" s="12"/>
    </row>
    <row r="18" spans="1:13" ht="20.100000000000001" customHeight="1" x14ac:dyDescent="0.2">
      <c r="A18" s="12">
        <f t="shared" si="0"/>
        <v>117</v>
      </c>
      <c r="B18" s="12">
        <v>17</v>
      </c>
      <c r="C18" s="12">
        <v>0.5</v>
      </c>
      <c r="D18" s="12">
        <f t="shared" si="3"/>
        <v>9</v>
      </c>
      <c r="E18" s="12">
        <v>1</v>
      </c>
      <c r="F18" s="12">
        <f t="shared" si="4"/>
        <v>15</v>
      </c>
      <c r="G18" s="12">
        <f>$D18*[1]总表!D$4</f>
        <v>9450</v>
      </c>
      <c r="H18" s="12">
        <f>$F18*[1]总表!E$4</f>
        <v>1500</v>
      </c>
      <c r="I18" s="12">
        <f>$F18*[1]总表!F$4</f>
        <v>450</v>
      </c>
      <c r="J18" s="12">
        <f>$F18*[1]总表!G$4</f>
        <v>450</v>
      </c>
      <c r="K18" s="12"/>
      <c r="L18" s="12"/>
      <c r="M18" s="12"/>
    </row>
    <row r="19" spans="1:13" ht="20.100000000000001" customHeight="1" x14ac:dyDescent="0.2">
      <c r="A19" s="12">
        <f t="shared" si="0"/>
        <v>118</v>
      </c>
      <c r="B19" s="12">
        <v>18</v>
      </c>
      <c r="C19" s="12">
        <v>0.5</v>
      </c>
      <c r="D19" s="12">
        <f t="shared" si="3"/>
        <v>9.5</v>
      </c>
      <c r="E19" s="12">
        <v>1</v>
      </c>
      <c r="F19" s="12">
        <f t="shared" si="4"/>
        <v>16</v>
      </c>
      <c r="G19" s="12">
        <f>$D19*[1]总表!D$4</f>
        <v>9975</v>
      </c>
      <c r="H19" s="12">
        <f>$F19*[1]总表!E$4</f>
        <v>1600</v>
      </c>
      <c r="I19" s="12">
        <f>$F19*[1]总表!F$4</f>
        <v>480</v>
      </c>
      <c r="J19" s="12">
        <f>$F19*[1]总表!G$4</f>
        <v>480</v>
      </c>
      <c r="K19" s="12"/>
      <c r="L19" s="12"/>
      <c r="M19" s="12"/>
    </row>
    <row r="20" spans="1:13" ht="20.100000000000001" customHeight="1" x14ac:dyDescent="0.2">
      <c r="A20" s="12">
        <f t="shared" si="0"/>
        <v>119</v>
      </c>
      <c r="B20" s="12">
        <v>19</v>
      </c>
      <c r="C20" s="12">
        <v>0.5</v>
      </c>
      <c r="D20" s="12">
        <f t="shared" si="3"/>
        <v>10</v>
      </c>
      <c r="E20" s="12">
        <v>1</v>
      </c>
      <c r="F20" s="12">
        <f t="shared" si="4"/>
        <v>17</v>
      </c>
      <c r="G20" s="12">
        <f>$D20*[1]总表!D$4</f>
        <v>10500</v>
      </c>
      <c r="H20" s="12">
        <f>$F20*[1]总表!E$4</f>
        <v>1700</v>
      </c>
      <c r="I20" s="12">
        <f>$F20*[1]总表!F$4</f>
        <v>510</v>
      </c>
      <c r="J20" s="12">
        <f>$F20*[1]总表!G$4</f>
        <v>510</v>
      </c>
      <c r="K20" s="12"/>
      <c r="L20" s="12"/>
      <c r="M20" s="12"/>
    </row>
    <row r="21" spans="1:13" ht="20.100000000000001" customHeight="1" x14ac:dyDescent="0.2">
      <c r="A21" s="12">
        <f t="shared" si="0"/>
        <v>120</v>
      </c>
      <c r="B21" s="12">
        <v>20</v>
      </c>
      <c r="C21" s="12">
        <v>0.5</v>
      </c>
      <c r="D21" s="12">
        <f t="shared" si="3"/>
        <v>10.5</v>
      </c>
      <c r="E21" s="12">
        <v>2</v>
      </c>
      <c r="F21" s="12">
        <f t="shared" si="4"/>
        <v>19</v>
      </c>
      <c r="G21" s="12">
        <f>$D21*[1]总表!D$4</f>
        <v>11025</v>
      </c>
      <c r="H21" s="12">
        <f>$F21*[1]总表!E$4</f>
        <v>1900</v>
      </c>
      <c r="I21" s="12">
        <f>$F21*[1]总表!F$4</f>
        <v>570</v>
      </c>
      <c r="J21" s="12">
        <f>$F21*[1]总表!G$4</f>
        <v>570</v>
      </c>
      <c r="K21" s="12"/>
      <c r="L21" s="12"/>
      <c r="M21" s="12"/>
    </row>
    <row r="22" spans="1:13" ht="20.100000000000001" customHeight="1" x14ac:dyDescent="0.2">
      <c r="A22" s="12">
        <f t="shared" si="0"/>
        <v>121</v>
      </c>
      <c r="B22" s="12">
        <v>21</v>
      </c>
      <c r="C22" s="12">
        <v>1</v>
      </c>
      <c r="D22" s="12">
        <f t="shared" si="3"/>
        <v>11</v>
      </c>
      <c r="E22" s="12">
        <v>0.5</v>
      </c>
      <c r="F22" s="12">
        <f t="shared" si="4"/>
        <v>19.5</v>
      </c>
      <c r="G22" s="12">
        <f>$D22*[1]总表!D$4</f>
        <v>11550</v>
      </c>
      <c r="H22" s="12">
        <f>$F22*[1]总表!E$4</f>
        <v>1950</v>
      </c>
      <c r="I22" s="12">
        <f>$F22*[1]总表!F$4</f>
        <v>585</v>
      </c>
      <c r="J22" s="12">
        <f>$F22*[1]总表!G$4</f>
        <v>585</v>
      </c>
      <c r="K22" s="12"/>
      <c r="L22" s="12"/>
      <c r="M22" s="12"/>
    </row>
    <row r="23" spans="1:13" ht="20.100000000000001" customHeight="1" x14ac:dyDescent="0.2">
      <c r="A23" s="12">
        <f t="shared" si="0"/>
        <v>122</v>
      </c>
      <c r="B23" s="12">
        <v>22</v>
      </c>
      <c r="C23" s="12">
        <v>1</v>
      </c>
      <c r="D23" s="12">
        <f t="shared" si="3"/>
        <v>12</v>
      </c>
      <c r="E23" s="12">
        <v>0.5</v>
      </c>
      <c r="F23" s="12">
        <f t="shared" si="4"/>
        <v>20</v>
      </c>
      <c r="G23" s="12">
        <f>$D23*[1]总表!D$4</f>
        <v>12600</v>
      </c>
      <c r="H23" s="12">
        <f>$F23*[1]总表!E$4</f>
        <v>2000</v>
      </c>
      <c r="I23" s="12">
        <f>$F23*[1]总表!F$4</f>
        <v>600</v>
      </c>
      <c r="J23" s="12">
        <f>$F23*[1]总表!G$4</f>
        <v>600</v>
      </c>
      <c r="K23" s="12"/>
      <c r="L23" s="12"/>
      <c r="M23" s="12"/>
    </row>
    <row r="24" spans="1:13" ht="20.100000000000001" customHeight="1" x14ac:dyDescent="0.2">
      <c r="A24" s="12">
        <f t="shared" si="0"/>
        <v>123</v>
      </c>
      <c r="B24" s="12">
        <v>23</v>
      </c>
      <c r="C24" s="12">
        <v>1</v>
      </c>
      <c r="D24" s="12">
        <f t="shared" si="3"/>
        <v>13</v>
      </c>
      <c r="E24" s="12">
        <v>0.5</v>
      </c>
      <c r="F24" s="12">
        <f t="shared" si="4"/>
        <v>20.5</v>
      </c>
      <c r="G24" s="12">
        <f>$D24*[1]总表!D$4</f>
        <v>13650</v>
      </c>
      <c r="H24" s="12">
        <f>$F24*[1]总表!E$4</f>
        <v>2050</v>
      </c>
      <c r="I24" s="12">
        <f>$F24*[1]总表!F$4</f>
        <v>615</v>
      </c>
      <c r="J24" s="12">
        <f>$F24*[1]总表!G$4</f>
        <v>615</v>
      </c>
      <c r="K24" s="12"/>
      <c r="L24" s="12"/>
      <c r="M24" s="12"/>
    </row>
    <row r="25" spans="1:13" ht="20.100000000000001" customHeight="1" x14ac:dyDescent="0.2">
      <c r="A25" s="12">
        <f t="shared" si="0"/>
        <v>124</v>
      </c>
      <c r="B25" s="12">
        <v>24</v>
      </c>
      <c r="C25" s="12">
        <v>1</v>
      </c>
      <c r="D25" s="12">
        <f t="shared" si="3"/>
        <v>14</v>
      </c>
      <c r="E25" s="12">
        <v>0.5</v>
      </c>
      <c r="F25" s="12">
        <f t="shared" si="4"/>
        <v>21</v>
      </c>
      <c r="G25" s="12">
        <f>$D25*[1]总表!D$4</f>
        <v>14700</v>
      </c>
      <c r="H25" s="12">
        <f>$F25*[1]总表!E$4</f>
        <v>2100</v>
      </c>
      <c r="I25" s="12">
        <f>$F25*[1]总表!F$4</f>
        <v>630</v>
      </c>
      <c r="J25" s="12">
        <f>$F25*[1]总表!G$4</f>
        <v>630</v>
      </c>
      <c r="K25" s="12"/>
      <c r="L25" s="12"/>
      <c r="M25" s="12"/>
    </row>
    <row r="26" spans="1:13" ht="20.100000000000001" customHeight="1" x14ac:dyDescent="0.2">
      <c r="A26" s="12">
        <f t="shared" si="0"/>
        <v>125</v>
      </c>
      <c r="B26" s="12">
        <v>25</v>
      </c>
      <c r="C26" s="12">
        <v>1</v>
      </c>
      <c r="D26" s="12">
        <f t="shared" si="3"/>
        <v>15</v>
      </c>
      <c r="E26" s="12">
        <v>0.5</v>
      </c>
      <c r="F26" s="12">
        <f t="shared" si="4"/>
        <v>21.5</v>
      </c>
      <c r="G26" s="12">
        <f>$D26*[1]总表!D$4</f>
        <v>15750</v>
      </c>
      <c r="H26" s="12">
        <f>$F26*[1]总表!E$4</f>
        <v>2150</v>
      </c>
      <c r="I26" s="12">
        <f>$F26*[1]总表!F$4</f>
        <v>645</v>
      </c>
      <c r="J26" s="12">
        <f>$F26*[1]总表!G$4</f>
        <v>645</v>
      </c>
      <c r="K26" s="12"/>
      <c r="L26" s="12"/>
      <c r="M26" s="12"/>
    </row>
    <row r="27" spans="1:13" ht="20.100000000000001" customHeight="1" x14ac:dyDescent="0.2">
      <c r="A27" s="12">
        <f t="shared" si="0"/>
        <v>126</v>
      </c>
      <c r="B27" s="12">
        <v>26</v>
      </c>
      <c r="C27" s="12">
        <v>1</v>
      </c>
      <c r="D27" s="12">
        <f t="shared" si="3"/>
        <v>16</v>
      </c>
      <c r="E27" s="12">
        <v>0.5</v>
      </c>
      <c r="F27" s="12">
        <f t="shared" si="4"/>
        <v>22</v>
      </c>
      <c r="G27" s="12">
        <f>$D27*[1]总表!D$4</f>
        <v>16800</v>
      </c>
      <c r="H27" s="12">
        <f>$F27*[1]总表!E$4</f>
        <v>2200</v>
      </c>
      <c r="I27" s="12">
        <f>$F27*[1]总表!F$4</f>
        <v>660</v>
      </c>
      <c r="J27" s="12">
        <f>$F27*[1]总表!G$4</f>
        <v>660</v>
      </c>
      <c r="K27" s="12"/>
      <c r="L27" s="12"/>
      <c r="M27" s="12"/>
    </row>
    <row r="28" spans="1:13" ht="20.100000000000001" customHeight="1" x14ac:dyDescent="0.2">
      <c r="A28" s="12">
        <f t="shared" si="0"/>
        <v>127</v>
      </c>
      <c r="B28" s="12">
        <v>27</v>
      </c>
      <c r="C28" s="12">
        <v>1</v>
      </c>
      <c r="D28" s="12">
        <f t="shared" si="3"/>
        <v>17</v>
      </c>
      <c r="E28" s="12">
        <v>0.5</v>
      </c>
      <c r="F28" s="12">
        <f t="shared" si="4"/>
        <v>22.5</v>
      </c>
      <c r="G28" s="12">
        <f>$D28*[1]总表!D$4</f>
        <v>17850</v>
      </c>
      <c r="H28" s="12">
        <f>$F28*[1]总表!E$4</f>
        <v>2250</v>
      </c>
      <c r="I28" s="12">
        <f>$F28*[1]总表!F$4</f>
        <v>675</v>
      </c>
      <c r="J28" s="12">
        <f>$F28*[1]总表!G$4</f>
        <v>675</v>
      </c>
      <c r="K28" s="12"/>
      <c r="L28" s="12"/>
      <c r="M28" s="12"/>
    </row>
    <row r="29" spans="1:13" ht="20.100000000000001" customHeight="1" x14ac:dyDescent="0.2">
      <c r="A29" s="12">
        <f t="shared" si="0"/>
        <v>128</v>
      </c>
      <c r="B29" s="12">
        <v>28</v>
      </c>
      <c r="C29" s="12">
        <v>1</v>
      </c>
      <c r="D29" s="12">
        <f t="shared" si="3"/>
        <v>18</v>
      </c>
      <c r="E29" s="12">
        <v>0.5</v>
      </c>
      <c r="F29" s="12">
        <f t="shared" si="4"/>
        <v>23</v>
      </c>
      <c r="G29" s="12">
        <f>$D29*[1]总表!D$4</f>
        <v>18900</v>
      </c>
      <c r="H29" s="12">
        <f>$F29*[1]总表!E$4</f>
        <v>2300</v>
      </c>
      <c r="I29" s="12">
        <f>$F29*[1]总表!F$4</f>
        <v>690</v>
      </c>
      <c r="J29" s="12">
        <f>$F29*[1]总表!G$4</f>
        <v>690</v>
      </c>
      <c r="K29" s="12"/>
      <c r="L29" s="12"/>
      <c r="M29" s="12"/>
    </row>
    <row r="30" spans="1:13" ht="20.100000000000001" customHeight="1" x14ac:dyDescent="0.2">
      <c r="A30" s="12">
        <f t="shared" si="0"/>
        <v>129</v>
      </c>
      <c r="B30" s="12">
        <v>29</v>
      </c>
      <c r="C30" s="12">
        <v>1</v>
      </c>
      <c r="D30" s="12">
        <f t="shared" si="3"/>
        <v>19</v>
      </c>
      <c r="E30" s="12">
        <v>0.5</v>
      </c>
      <c r="F30" s="12">
        <f t="shared" si="4"/>
        <v>23.5</v>
      </c>
      <c r="G30" s="12">
        <f>$D30*[1]总表!D$4</f>
        <v>19950</v>
      </c>
      <c r="H30" s="12">
        <f>$F30*[1]总表!E$4</f>
        <v>2350</v>
      </c>
      <c r="I30" s="12">
        <f>$F30*[1]总表!F$4</f>
        <v>705</v>
      </c>
      <c r="J30" s="12">
        <f>$F30*[1]总表!G$4</f>
        <v>705</v>
      </c>
      <c r="K30" s="12"/>
      <c r="L30" s="12"/>
      <c r="M30" s="12"/>
    </row>
    <row r="31" spans="1:13" ht="20.100000000000001" customHeight="1" x14ac:dyDescent="0.2">
      <c r="A31" s="12">
        <f t="shared" si="0"/>
        <v>130</v>
      </c>
      <c r="B31" s="12">
        <v>30</v>
      </c>
      <c r="C31" s="12">
        <v>5</v>
      </c>
      <c r="D31" s="12">
        <f t="shared" si="3"/>
        <v>20</v>
      </c>
      <c r="E31" s="12">
        <v>3</v>
      </c>
      <c r="F31" s="12">
        <f t="shared" si="4"/>
        <v>26.5</v>
      </c>
      <c r="G31" s="12">
        <f>$D31*[1]总表!D$4</f>
        <v>21000</v>
      </c>
      <c r="H31" s="12">
        <f>$F31*[1]总表!E$4</f>
        <v>2650</v>
      </c>
      <c r="I31" s="12">
        <f>$F31*[1]总表!F$4</f>
        <v>795</v>
      </c>
      <c r="J31" s="12">
        <f>$F31*[1]总表!G$4</f>
        <v>795</v>
      </c>
      <c r="K31" s="12"/>
      <c r="L31" s="12"/>
      <c r="M31" s="12"/>
    </row>
    <row r="32" spans="1:13" ht="20.100000000000001" customHeight="1" x14ac:dyDescent="0.2">
      <c r="A32" s="12">
        <f t="shared" si="0"/>
        <v>131</v>
      </c>
      <c r="B32" s="12">
        <v>31</v>
      </c>
      <c r="C32" s="12">
        <v>1</v>
      </c>
      <c r="D32" s="12">
        <f t="shared" si="3"/>
        <v>25</v>
      </c>
      <c r="E32" s="12">
        <v>0.5</v>
      </c>
      <c r="F32" s="12">
        <f t="shared" si="4"/>
        <v>27</v>
      </c>
      <c r="G32" s="12">
        <f>$D32*[1]总表!D$4</f>
        <v>26250</v>
      </c>
      <c r="H32" s="12">
        <f>$F32*[1]总表!E$4</f>
        <v>2700</v>
      </c>
      <c r="I32" s="12">
        <f>$F32*[1]总表!F$4</f>
        <v>810</v>
      </c>
      <c r="J32" s="12">
        <f>$F32*[1]总表!G$4</f>
        <v>810</v>
      </c>
      <c r="K32" s="12"/>
      <c r="L32" s="12"/>
      <c r="M32" s="12"/>
    </row>
    <row r="33" spans="1:13" ht="20.100000000000001" customHeight="1" x14ac:dyDescent="0.2">
      <c r="A33" s="12">
        <f t="shared" si="0"/>
        <v>132</v>
      </c>
      <c r="B33" s="12">
        <v>32</v>
      </c>
      <c r="C33" s="12">
        <v>1</v>
      </c>
      <c r="D33" s="12">
        <f t="shared" si="3"/>
        <v>26</v>
      </c>
      <c r="E33" s="12">
        <v>0.5</v>
      </c>
      <c r="F33" s="12">
        <f t="shared" si="4"/>
        <v>27.5</v>
      </c>
      <c r="G33" s="12">
        <f>$D33*[1]总表!D$4</f>
        <v>27300</v>
      </c>
      <c r="H33" s="12">
        <f>$F33*[1]总表!E$4</f>
        <v>2750</v>
      </c>
      <c r="I33" s="12">
        <f>$F33*[1]总表!F$4</f>
        <v>825</v>
      </c>
      <c r="J33" s="12">
        <f>$F33*[1]总表!G$4</f>
        <v>825</v>
      </c>
      <c r="K33" s="12"/>
      <c r="L33" s="12"/>
      <c r="M33" s="12"/>
    </row>
    <row r="34" spans="1:13" ht="20.100000000000001" customHeight="1" x14ac:dyDescent="0.2">
      <c r="A34" s="12">
        <f t="shared" si="0"/>
        <v>133</v>
      </c>
      <c r="B34" s="12">
        <v>33</v>
      </c>
      <c r="C34" s="12">
        <v>1</v>
      </c>
      <c r="D34" s="12">
        <f t="shared" si="3"/>
        <v>27</v>
      </c>
      <c r="E34" s="12">
        <v>0.5</v>
      </c>
      <c r="F34" s="12">
        <f t="shared" si="4"/>
        <v>28</v>
      </c>
      <c r="G34" s="12">
        <f>$D34*[1]总表!D$4</f>
        <v>28350</v>
      </c>
      <c r="H34" s="12">
        <f>$F34*[1]总表!E$4</f>
        <v>2800</v>
      </c>
      <c r="I34" s="12">
        <f>$F34*[1]总表!F$4</f>
        <v>840</v>
      </c>
      <c r="J34" s="12">
        <f>$F34*[1]总表!G$4</f>
        <v>840</v>
      </c>
      <c r="K34" s="12"/>
      <c r="L34" s="12"/>
      <c r="M34" s="12"/>
    </row>
    <row r="35" spans="1:13" ht="20.100000000000001" customHeight="1" x14ac:dyDescent="0.2">
      <c r="A35" s="12">
        <f t="shared" si="0"/>
        <v>134</v>
      </c>
      <c r="B35" s="12">
        <v>34</v>
      </c>
      <c r="C35" s="12">
        <v>1</v>
      </c>
      <c r="D35" s="12">
        <f t="shared" si="3"/>
        <v>28</v>
      </c>
      <c r="E35" s="12">
        <v>0.5</v>
      </c>
      <c r="F35" s="12">
        <f t="shared" si="4"/>
        <v>28.5</v>
      </c>
      <c r="G35" s="12">
        <f>$D35*[1]总表!D$4</f>
        <v>29400</v>
      </c>
      <c r="H35" s="12">
        <f>$F35*[1]总表!E$4</f>
        <v>2850</v>
      </c>
      <c r="I35" s="12">
        <f>$F35*[1]总表!F$4</f>
        <v>855</v>
      </c>
      <c r="J35" s="12">
        <f>$F35*[1]总表!G$4</f>
        <v>855</v>
      </c>
      <c r="K35" s="12"/>
      <c r="L35" s="12"/>
      <c r="M35" s="12"/>
    </row>
    <row r="36" spans="1:13" ht="20.100000000000001" customHeight="1" x14ac:dyDescent="0.2">
      <c r="A36" s="12">
        <f t="shared" si="0"/>
        <v>135</v>
      </c>
      <c r="B36" s="12">
        <v>35</v>
      </c>
      <c r="C36" s="12">
        <v>1</v>
      </c>
      <c r="D36" s="12">
        <f t="shared" si="3"/>
        <v>29</v>
      </c>
      <c r="E36" s="12">
        <v>0.5</v>
      </c>
      <c r="F36" s="12">
        <f t="shared" si="4"/>
        <v>29</v>
      </c>
      <c r="G36" s="12">
        <f>$D36*[1]总表!D$4</f>
        <v>30450</v>
      </c>
      <c r="H36" s="12">
        <f>$F36*[1]总表!E$4</f>
        <v>2900</v>
      </c>
      <c r="I36" s="12">
        <f>$F36*[1]总表!F$4</f>
        <v>870</v>
      </c>
      <c r="J36" s="12">
        <f>$F36*[1]总表!G$4</f>
        <v>870</v>
      </c>
      <c r="K36" s="12"/>
      <c r="L36" s="12"/>
      <c r="M36" s="12"/>
    </row>
    <row r="37" spans="1:13" ht="20.100000000000001" customHeight="1" x14ac:dyDescent="0.2">
      <c r="A37" s="12">
        <f t="shared" si="0"/>
        <v>136</v>
      </c>
      <c r="B37" s="12">
        <v>36</v>
      </c>
      <c r="C37" s="12">
        <v>1</v>
      </c>
      <c r="D37" s="12">
        <f t="shared" si="3"/>
        <v>30</v>
      </c>
      <c r="E37" s="12">
        <v>0.5</v>
      </c>
      <c r="F37" s="12">
        <f t="shared" si="4"/>
        <v>29.5</v>
      </c>
      <c r="G37" s="12">
        <f>$D37*[1]总表!D$4</f>
        <v>31500</v>
      </c>
      <c r="H37" s="12">
        <f>$F37*[1]总表!E$4</f>
        <v>2950</v>
      </c>
      <c r="I37" s="12">
        <f>$F37*[1]总表!F$4</f>
        <v>885</v>
      </c>
      <c r="J37" s="12">
        <f>$F37*[1]总表!G$4</f>
        <v>885</v>
      </c>
      <c r="K37" s="12"/>
      <c r="L37" s="12"/>
      <c r="M37" s="12"/>
    </row>
    <row r="38" spans="1:13" ht="20.100000000000001" customHeight="1" x14ac:dyDescent="0.2">
      <c r="A38" s="12">
        <f t="shared" si="0"/>
        <v>137</v>
      </c>
      <c r="B38" s="12">
        <v>37</v>
      </c>
      <c r="C38" s="12">
        <v>1</v>
      </c>
      <c r="D38" s="12">
        <f t="shared" si="3"/>
        <v>31</v>
      </c>
      <c r="E38" s="12">
        <v>0.5</v>
      </c>
      <c r="F38" s="12">
        <f t="shared" si="4"/>
        <v>30</v>
      </c>
      <c r="G38" s="12">
        <f>$D38*[1]总表!D$4</f>
        <v>32550</v>
      </c>
      <c r="H38" s="12">
        <f>$F38*[1]总表!E$4</f>
        <v>3000</v>
      </c>
      <c r="I38" s="12">
        <f>$F38*[1]总表!F$4</f>
        <v>900</v>
      </c>
      <c r="J38" s="12">
        <f>$F38*[1]总表!G$4</f>
        <v>900</v>
      </c>
      <c r="K38" s="12"/>
      <c r="L38" s="12"/>
      <c r="M38" s="12"/>
    </row>
    <row r="39" spans="1:13" ht="20.100000000000001" customHeight="1" x14ac:dyDescent="0.2">
      <c r="A39" s="12">
        <f t="shared" si="0"/>
        <v>138</v>
      </c>
      <c r="B39" s="12">
        <v>38</v>
      </c>
      <c r="C39" s="12">
        <v>1</v>
      </c>
      <c r="D39" s="12">
        <f t="shared" si="3"/>
        <v>32</v>
      </c>
      <c r="E39" s="12">
        <v>0.5</v>
      </c>
      <c r="F39" s="12">
        <f t="shared" si="4"/>
        <v>30.5</v>
      </c>
      <c r="G39" s="12">
        <f>$D39*[1]总表!D$4</f>
        <v>33600</v>
      </c>
      <c r="H39" s="12">
        <f>$F39*[1]总表!E$4</f>
        <v>3050</v>
      </c>
      <c r="I39" s="12">
        <f>$F39*[1]总表!F$4</f>
        <v>915</v>
      </c>
      <c r="J39" s="12">
        <f>$F39*[1]总表!G$4</f>
        <v>915</v>
      </c>
      <c r="K39" s="12"/>
      <c r="L39" s="12"/>
      <c r="M39" s="12"/>
    </row>
    <row r="40" spans="1:13" ht="20.100000000000001" customHeight="1" x14ac:dyDescent="0.2">
      <c r="A40" s="12">
        <f t="shared" si="0"/>
        <v>139</v>
      </c>
      <c r="B40" s="12">
        <v>39</v>
      </c>
      <c r="C40" s="12">
        <v>1</v>
      </c>
      <c r="D40" s="12">
        <f t="shared" si="3"/>
        <v>33</v>
      </c>
      <c r="E40" s="12">
        <v>0.5</v>
      </c>
      <c r="F40" s="12">
        <f t="shared" si="4"/>
        <v>31</v>
      </c>
      <c r="G40" s="12">
        <f>$D40*[1]总表!D$4</f>
        <v>34650</v>
      </c>
      <c r="H40" s="12">
        <f>$F40*[1]总表!E$4</f>
        <v>3100</v>
      </c>
      <c r="I40" s="12">
        <f>$F40*[1]总表!F$4</f>
        <v>930</v>
      </c>
      <c r="J40" s="12">
        <f>$F40*[1]总表!G$4</f>
        <v>930</v>
      </c>
      <c r="K40" s="12"/>
      <c r="L40" s="12"/>
      <c r="M40" s="12"/>
    </row>
    <row r="41" spans="1:13" ht="20.100000000000001" customHeight="1" x14ac:dyDescent="0.2">
      <c r="A41" s="12">
        <f t="shared" si="0"/>
        <v>140</v>
      </c>
      <c r="B41" s="12">
        <v>40</v>
      </c>
      <c r="C41" s="12">
        <v>5</v>
      </c>
      <c r="D41" s="12">
        <f t="shared" si="3"/>
        <v>34</v>
      </c>
      <c r="E41" s="12">
        <v>4</v>
      </c>
      <c r="F41" s="12">
        <f t="shared" si="4"/>
        <v>35</v>
      </c>
      <c r="G41" s="12">
        <f>$D41*[1]总表!D$4</f>
        <v>35700</v>
      </c>
      <c r="H41" s="12">
        <f>$F41*[1]总表!E$4</f>
        <v>3500</v>
      </c>
      <c r="I41" s="12">
        <f>$F41*[1]总表!F$4</f>
        <v>1050</v>
      </c>
      <c r="J41" s="12">
        <f>$F41*[1]总表!G$4</f>
        <v>1050</v>
      </c>
      <c r="K41" s="12"/>
      <c r="L41" s="12"/>
      <c r="M41" s="12"/>
    </row>
    <row r="42" spans="1:13" ht="20.100000000000001" customHeight="1" x14ac:dyDescent="0.2">
      <c r="A42" s="12">
        <f t="shared" si="0"/>
        <v>141</v>
      </c>
      <c r="B42" s="12">
        <v>41</v>
      </c>
      <c r="C42" s="12">
        <v>1</v>
      </c>
      <c r="D42" s="12">
        <f t="shared" si="3"/>
        <v>39</v>
      </c>
      <c r="E42" s="12">
        <v>0.5</v>
      </c>
      <c r="F42" s="12">
        <f t="shared" si="4"/>
        <v>35.5</v>
      </c>
      <c r="G42" s="12">
        <f>$D42*[1]总表!D$4</f>
        <v>40950</v>
      </c>
      <c r="H42" s="12">
        <f>$F42*[1]总表!E$4</f>
        <v>3550</v>
      </c>
      <c r="I42" s="12">
        <f>$F42*[1]总表!F$4</f>
        <v>1065</v>
      </c>
      <c r="J42" s="12">
        <f>$F42*[1]总表!G$4</f>
        <v>1065</v>
      </c>
      <c r="K42" s="12"/>
      <c r="L42" s="12"/>
      <c r="M42" s="12"/>
    </row>
    <row r="43" spans="1:13" ht="20.100000000000001" customHeight="1" x14ac:dyDescent="0.2">
      <c r="A43" s="12">
        <f t="shared" si="0"/>
        <v>142</v>
      </c>
      <c r="B43" s="12">
        <v>42</v>
      </c>
      <c r="C43" s="12">
        <v>1</v>
      </c>
      <c r="D43" s="12">
        <f t="shared" si="3"/>
        <v>40</v>
      </c>
      <c r="E43" s="12">
        <v>0.5</v>
      </c>
      <c r="F43" s="12">
        <f t="shared" si="4"/>
        <v>36</v>
      </c>
      <c r="G43" s="12">
        <f>$D43*[1]总表!D$4</f>
        <v>42000</v>
      </c>
      <c r="H43" s="12">
        <f>$F43*[1]总表!E$4</f>
        <v>3600</v>
      </c>
      <c r="I43" s="12">
        <f>$F43*[1]总表!F$4</f>
        <v>1080</v>
      </c>
      <c r="J43" s="12">
        <f>$F43*[1]总表!G$4</f>
        <v>1080</v>
      </c>
      <c r="K43" s="12"/>
      <c r="L43" s="12"/>
      <c r="M43" s="12"/>
    </row>
    <row r="44" spans="1:13" ht="20.100000000000001" customHeight="1" x14ac:dyDescent="0.2">
      <c r="A44" s="12">
        <f t="shared" si="0"/>
        <v>143</v>
      </c>
      <c r="B44" s="12">
        <v>43</v>
      </c>
      <c r="C44" s="12">
        <v>1</v>
      </c>
      <c r="D44" s="12">
        <f t="shared" si="3"/>
        <v>41</v>
      </c>
      <c r="E44" s="12">
        <v>0.5</v>
      </c>
      <c r="F44" s="12">
        <f t="shared" si="4"/>
        <v>36.5</v>
      </c>
      <c r="G44" s="12">
        <f>$D44*[1]总表!D$4</f>
        <v>43050</v>
      </c>
      <c r="H44" s="12">
        <f>$F44*[1]总表!E$4</f>
        <v>3650</v>
      </c>
      <c r="I44" s="12">
        <f>$F44*[1]总表!F$4</f>
        <v>1095</v>
      </c>
      <c r="J44" s="12">
        <f>$F44*[1]总表!G$4</f>
        <v>1095</v>
      </c>
      <c r="K44" s="12"/>
      <c r="L44" s="12"/>
      <c r="M44" s="12"/>
    </row>
    <row r="45" spans="1:13" ht="20.100000000000001" customHeight="1" x14ac:dyDescent="0.2">
      <c r="A45" s="12">
        <f t="shared" si="0"/>
        <v>144</v>
      </c>
      <c r="B45" s="12">
        <v>44</v>
      </c>
      <c r="C45" s="12">
        <v>1</v>
      </c>
      <c r="D45" s="12">
        <f t="shared" si="3"/>
        <v>42</v>
      </c>
      <c r="E45" s="12">
        <v>0.5</v>
      </c>
      <c r="F45" s="12">
        <f t="shared" si="4"/>
        <v>37</v>
      </c>
      <c r="G45" s="12">
        <f>$D45*[1]总表!D$4</f>
        <v>44100</v>
      </c>
      <c r="H45" s="12">
        <f>$F45*[1]总表!E$4</f>
        <v>3700</v>
      </c>
      <c r="I45" s="12">
        <f>$F45*[1]总表!F$4</f>
        <v>1110</v>
      </c>
      <c r="J45" s="12">
        <f>$F45*[1]总表!G$4</f>
        <v>1110</v>
      </c>
      <c r="K45" s="12"/>
      <c r="L45" s="12"/>
      <c r="M45" s="12"/>
    </row>
    <row r="46" spans="1:13" ht="20.100000000000001" customHeight="1" x14ac:dyDescent="0.2">
      <c r="A46" s="12">
        <f t="shared" si="0"/>
        <v>145</v>
      </c>
      <c r="B46" s="12">
        <v>45</v>
      </c>
      <c r="C46" s="12">
        <v>1</v>
      </c>
      <c r="D46" s="12">
        <f t="shared" si="3"/>
        <v>43</v>
      </c>
      <c r="E46" s="12">
        <v>0.5</v>
      </c>
      <c r="F46" s="12">
        <f t="shared" si="4"/>
        <v>37.5</v>
      </c>
      <c r="G46" s="12">
        <f>$D46*[1]总表!D$4</f>
        <v>45150</v>
      </c>
      <c r="H46" s="12">
        <f>$F46*[1]总表!E$4</f>
        <v>3750</v>
      </c>
      <c r="I46" s="12">
        <f>$F46*[1]总表!F$4</f>
        <v>1125</v>
      </c>
      <c r="J46" s="12">
        <f>$F46*[1]总表!G$4</f>
        <v>1125</v>
      </c>
      <c r="K46" s="12"/>
      <c r="L46" s="12"/>
      <c r="M46" s="12"/>
    </row>
    <row r="47" spans="1:13" ht="20.100000000000001" customHeight="1" x14ac:dyDescent="0.2">
      <c r="A47" s="12">
        <f t="shared" si="0"/>
        <v>146</v>
      </c>
      <c r="B47" s="12">
        <v>46</v>
      </c>
      <c r="C47" s="12">
        <v>1</v>
      </c>
      <c r="D47" s="12">
        <f t="shared" si="3"/>
        <v>44</v>
      </c>
      <c r="E47" s="12">
        <v>0.5</v>
      </c>
      <c r="F47" s="12">
        <f t="shared" si="4"/>
        <v>38</v>
      </c>
      <c r="G47" s="12">
        <f>$D47*[1]总表!D$4</f>
        <v>46200</v>
      </c>
      <c r="H47" s="12">
        <f>$F47*[1]总表!E$4</f>
        <v>3800</v>
      </c>
      <c r="I47" s="12">
        <f>$F47*[1]总表!F$4</f>
        <v>1140</v>
      </c>
      <c r="J47" s="12">
        <f>$F47*[1]总表!G$4</f>
        <v>1140</v>
      </c>
      <c r="K47" s="12"/>
      <c r="L47" s="12"/>
      <c r="M47" s="12"/>
    </row>
    <row r="48" spans="1:13" ht="20.100000000000001" customHeight="1" x14ac:dyDescent="0.2">
      <c r="A48" s="12">
        <f t="shared" si="0"/>
        <v>147</v>
      </c>
      <c r="B48" s="12">
        <v>47</v>
      </c>
      <c r="C48" s="12">
        <v>1</v>
      </c>
      <c r="D48" s="12">
        <f t="shared" si="3"/>
        <v>45</v>
      </c>
      <c r="E48" s="12">
        <v>0.5</v>
      </c>
      <c r="F48" s="12">
        <f t="shared" si="4"/>
        <v>38.5</v>
      </c>
      <c r="G48" s="12">
        <f>$D48*[1]总表!D$4</f>
        <v>47250</v>
      </c>
      <c r="H48" s="12">
        <f>$F48*[1]总表!E$4</f>
        <v>3850</v>
      </c>
      <c r="I48" s="12">
        <f>$F48*[1]总表!F$4</f>
        <v>1155</v>
      </c>
      <c r="J48" s="12">
        <f>$F48*[1]总表!G$4</f>
        <v>1155</v>
      </c>
      <c r="K48" s="12"/>
      <c r="L48" s="12"/>
      <c r="M48" s="12"/>
    </row>
    <row r="49" spans="1:13" ht="20.100000000000001" customHeight="1" x14ac:dyDescent="0.2">
      <c r="A49" s="12">
        <f t="shared" si="0"/>
        <v>148</v>
      </c>
      <c r="B49" s="12">
        <v>48</v>
      </c>
      <c r="C49" s="12">
        <v>1</v>
      </c>
      <c r="D49" s="12">
        <f t="shared" si="3"/>
        <v>46</v>
      </c>
      <c r="E49" s="12">
        <v>0.5</v>
      </c>
      <c r="F49" s="12">
        <f t="shared" si="4"/>
        <v>39</v>
      </c>
      <c r="G49" s="12">
        <f>$D49*[1]总表!D$4</f>
        <v>48300</v>
      </c>
      <c r="H49" s="12">
        <f>$F49*[1]总表!E$4</f>
        <v>3900</v>
      </c>
      <c r="I49" s="12">
        <f>$F49*[1]总表!F$4</f>
        <v>1170</v>
      </c>
      <c r="J49" s="12">
        <f>$F49*[1]总表!G$4</f>
        <v>1170</v>
      </c>
      <c r="K49" s="12"/>
      <c r="L49" s="12"/>
      <c r="M49" s="12"/>
    </row>
    <row r="50" spans="1:13" ht="20.100000000000001" customHeight="1" x14ac:dyDescent="0.2">
      <c r="A50" s="12">
        <f t="shared" si="0"/>
        <v>149</v>
      </c>
      <c r="B50" s="12">
        <v>49</v>
      </c>
      <c r="C50" s="12">
        <v>1</v>
      </c>
      <c r="D50" s="12">
        <f t="shared" si="3"/>
        <v>47</v>
      </c>
      <c r="E50" s="12">
        <v>0.5</v>
      </c>
      <c r="F50" s="12">
        <f t="shared" si="4"/>
        <v>39.5</v>
      </c>
      <c r="G50" s="12">
        <f>$D50*[1]总表!D$4</f>
        <v>49350</v>
      </c>
      <c r="H50" s="12">
        <f>$F50*[1]总表!E$4</f>
        <v>3950</v>
      </c>
      <c r="I50" s="12">
        <f>$F50*[1]总表!F$4</f>
        <v>1185</v>
      </c>
      <c r="J50" s="12">
        <f>$F50*[1]总表!G$4</f>
        <v>1185</v>
      </c>
      <c r="K50" s="12"/>
      <c r="L50" s="12"/>
      <c r="M50" s="12"/>
    </row>
    <row r="51" spans="1:13" ht="20.100000000000001" customHeight="1" x14ac:dyDescent="0.2">
      <c r="A51" s="12">
        <f t="shared" si="0"/>
        <v>150</v>
      </c>
      <c r="B51" s="12">
        <v>50</v>
      </c>
      <c r="C51" s="12">
        <v>5</v>
      </c>
      <c r="D51" s="12">
        <f t="shared" si="3"/>
        <v>48</v>
      </c>
      <c r="E51" s="12">
        <v>4</v>
      </c>
      <c r="F51" s="12">
        <f t="shared" si="4"/>
        <v>43.5</v>
      </c>
      <c r="G51" s="12">
        <f>$D51*[1]总表!D$4</f>
        <v>50400</v>
      </c>
      <c r="H51" s="12">
        <f>$F51*[1]总表!E$4</f>
        <v>4350</v>
      </c>
      <c r="I51" s="12">
        <f>$F51*[1]总表!F$4</f>
        <v>1305</v>
      </c>
      <c r="J51" s="12">
        <f>$F51*[1]总表!G$4</f>
        <v>1305</v>
      </c>
    </row>
    <row r="52" spans="1:13" ht="20.100000000000001" customHeight="1" x14ac:dyDescent="0.2">
      <c r="A52" s="12">
        <f t="shared" si="0"/>
        <v>151</v>
      </c>
      <c r="B52" s="12">
        <v>51</v>
      </c>
      <c r="C52" s="12">
        <v>1</v>
      </c>
      <c r="D52" s="12">
        <f t="shared" si="3"/>
        <v>53</v>
      </c>
      <c r="E52" s="12">
        <v>0.5</v>
      </c>
      <c r="F52" s="12">
        <f t="shared" si="4"/>
        <v>44</v>
      </c>
      <c r="G52" s="12">
        <f>$D52*[1]总表!D$4</f>
        <v>55650</v>
      </c>
      <c r="H52" s="12">
        <f>$F52*[1]总表!E$4</f>
        <v>4400</v>
      </c>
      <c r="I52" s="12">
        <f>$F52*[1]总表!F$4</f>
        <v>1320</v>
      </c>
      <c r="J52" s="12">
        <f>$F52*[1]总表!G$4</f>
        <v>1320</v>
      </c>
    </row>
    <row r="53" spans="1:13" ht="20.100000000000001" customHeight="1" x14ac:dyDescent="0.2">
      <c r="A53" s="12">
        <f t="shared" si="0"/>
        <v>152</v>
      </c>
      <c r="B53" s="12">
        <v>52</v>
      </c>
      <c r="C53" s="12">
        <v>1</v>
      </c>
      <c r="D53" s="12">
        <f t="shared" si="3"/>
        <v>54</v>
      </c>
      <c r="E53" s="12">
        <v>0.5</v>
      </c>
      <c r="F53" s="12">
        <f t="shared" si="4"/>
        <v>44.5</v>
      </c>
      <c r="G53" s="12">
        <f>$D53*[1]总表!D$4</f>
        <v>56700</v>
      </c>
      <c r="H53" s="12">
        <f>$F53*[1]总表!E$4</f>
        <v>4450</v>
      </c>
      <c r="I53" s="12">
        <f>$F53*[1]总表!F$4</f>
        <v>1335</v>
      </c>
      <c r="J53" s="12">
        <f>$F53*[1]总表!G$4</f>
        <v>1335</v>
      </c>
    </row>
    <row r="54" spans="1:13" ht="20.100000000000001" customHeight="1" x14ac:dyDescent="0.2">
      <c r="A54" s="12">
        <f t="shared" si="0"/>
        <v>153</v>
      </c>
      <c r="B54" s="12">
        <v>53</v>
      </c>
      <c r="C54" s="12">
        <v>1</v>
      </c>
      <c r="D54" s="12">
        <f t="shared" si="3"/>
        <v>55</v>
      </c>
      <c r="E54" s="12">
        <v>0.5</v>
      </c>
      <c r="F54" s="12">
        <f t="shared" si="4"/>
        <v>45</v>
      </c>
      <c r="G54" s="12">
        <f>$D54*[1]总表!D$4</f>
        <v>57750</v>
      </c>
      <c r="H54" s="12">
        <f>$F54*[1]总表!E$4</f>
        <v>4500</v>
      </c>
      <c r="I54" s="12">
        <f>$F54*[1]总表!F$4</f>
        <v>1350</v>
      </c>
      <c r="J54" s="12">
        <f>$F54*[1]总表!G$4</f>
        <v>1350</v>
      </c>
    </row>
    <row r="55" spans="1:13" ht="20.100000000000001" customHeight="1" x14ac:dyDescent="0.2">
      <c r="A55" s="12">
        <f t="shared" si="0"/>
        <v>154</v>
      </c>
      <c r="B55" s="12">
        <v>54</v>
      </c>
      <c r="C55" s="12">
        <v>1</v>
      </c>
      <c r="D55" s="12">
        <f t="shared" si="3"/>
        <v>56</v>
      </c>
      <c r="E55" s="12">
        <v>0.5</v>
      </c>
      <c r="F55" s="12">
        <f t="shared" si="4"/>
        <v>45.5</v>
      </c>
      <c r="G55" s="12">
        <f>$D55*[1]总表!D$4</f>
        <v>58800</v>
      </c>
      <c r="H55" s="12">
        <f>$F55*[1]总表!E$4</f>
        <v>4550</v>
      </c>
      <c r="I55" s="12">
        <f>$F55*[1]总表!F$4</f>
        <v>1365</v>
      </c>
      <c r="J55" s="12">
        <f>$F55*[1]总表!G$4</f>
        <v>1365</v>
      </c>
    </row>
    <row r="56" spans="1:13" ht="20.100000000000001" customHeight="1" x14ac:dyDescent="0.2">
      <c r="A56" s="12">
        <f t="shared" si="0"/>
        <v>155</v>
      </c>
      <c r="B56" s="12">
        <v>55</v>
      </c>
      <c r="C56" s="12">
        <v>1</v>
      </c>
      <c r="D56" s="12">
        <f t="shared" si="3"/>
        <v>57</v>
      </c>
      <c r="E56" s="12">
        <v>0.5</v>
      </c>
      <c r="F56" s="12">
        <f t="shared" si="4"/>
        <v>46</v>
      </c>
      <c r="G56" s="12">
        <f>$D56*[1]总表!D$4</f>
        <v>59850</v>
      </c>
      <c r="H56" s="12">
        <f>$F56*[1]总表!E$4</f>
        <v>4600</v>
      </c>
      <c r="I56" s="12">
        <f>$F56*[1]总表!F$4</f>
        <v>1380</v>
      </c>
      <c r="J56" s="12">
        <f>$F56*[1]总表!G$4</f>
        <v>1380</v>
      </c>
    </row>
    <row r="57" spans="1:13" ht="20.100000000000001" customHeight="1" x14ac:dyDescent="0.2">
      <c r="A57" s="12">
        <f t="shared" si="0"/>
        <v>156</v>
      </c>
      <c r="B57" s="12">
        <v>56</v>
      </c>
      <c r="C57" s="12">
        <v>1</v>
      </c>
      <c r="D57" s="12">
        <f t="shared" si="3"/>
        <v>58</v>
      </c>
      <c r="E57" s="12">
        <v>0.5</v>
      </c>
      <c r="F57" s="12">
        <f t="shared" si="4"/>
        <v>46.5</v>
      </c>
      <c r="G57" s="12">
        <f>$D57*[1]总表!D$4</f>
        <v>60900</v>
      </c>
      <c r="H57" s="12">
        <f>$F57*[1]总表!E$4</f>
        <v>4650</v>
      </c>
      <c r="I57" s="12">
        <f>$F57*[1]总表!F$4</f>
        <v>1395</v>
      </c>
      <c r="J57" s="12">
        <f>$F57*[1]总表!G$4</f>
        <v>1395</v>
      </c>
    </row>
    <row r="58" spans="1:13" ht="20.100000000000001" customHeight="1" x14ac:dyDescent="0.2">
      <c r="A58" s="12">
        <f t="shared" si="0"/>
        <v>157</v>
      </c>
      <c r="B58" s="12">
        <v>57</v>
      </c>
      <c r="C58" s="12">
        <v>1</v>
      </c>
      <c r="D58" s="12">
        <f t="shared" si="3"/>
        <v>59</v>
      </c>
      <c r="E58" s="12">
        <v>0.5</v>
      </c>
      <c r="F58" s="12">
        <f t="shared" si="4"/>
        <v>47</v>
      </c>
      <c r="G58" s="12">
        <f>$D58*[1]总表!D$4</f>
        <v>61950</v>
      </c>
      <c r="H58" s="12">
        <f>$F58*[1]总表!E$4</f>
        <v>4700</v>
      </c>
      <c r="I58" s="12">
        <f>$F58*[1]总表!F$4</f>
        <v>1410</v>
      </c>
      <c r="J58" s="12">
        <f>$F58*[1]总表!G$4</f>
        <v>1410</v>
      </c>
    </row>
    <row r="59" spans="1:13" ht="20.100000000000001" customHeight="1" x14ac:dyDescent="0.2">
      <c r="A59" s="12">
        <f t="shared" si="0"/>
        <v>158</v>
      </c>
      <c r="B59" s="12">
        <v>58</v>
      </c>
      <c r="C59" s="12">
        <v>1</v>
      </c>
      <c r="D59" s="12">
        <f t="shared" si="3"/>
        <v>60</v>
      </c>
      <c r="E59" s="12">
        <v>0.5</v>
      </c>
      <c r="F59" s="12">
        <f t="shared" si="4"/>
        <v>47.5</v>
      </c>
      <c r="G59" s="12">
        <f>$D59*[1]总表!D$4</f>
        <v>63000</v>
      </c>
      <c r="H59" s="12">
        <f>$F59*[1]总表!E$4</f>
        <v>4750</v>
      </c>
      <c r="I59" s="12">
        <f>$F59*[1]总表!F$4</f>
        <v>1425</v>
      </c>
      <c r="J59" s="12">
        <f>$F59*[1]总表!G$4</f>
        <v>1425</v>
      </c>
    </row>
    <row r="60" spans="1:13" ht="20.100000000000001" customHeight="1" x14ac:dyDescent="0.2">
      <c r="A60" s="12">
        <f t="shared" si="0"/>
        <v>159</v>
      </c>
      <c r="B60" s="12">
        <v>59</v>
      </c>
      <c r="C60" s="12">
        <v>1</v>
      </c>
      <c r="D60" s="12">
        <f t="shared" si="3"/>
        <v>61</v>
      </c>
      <c r="E60" s="12">
        <v>0.5</v>
      </c>
      <c r="F60" s="12">
        <f t="shared" si="4"/>
        <v>48</v>
      </c>
      <c r="G60" s="12">
        <f>$D60*[1]总表!D$4</f>
        <v>64050</v>
      </c>
      <c r="H60" s="12">
        <f>$F60*[1]总表!E$4</f>
        <v>4800</v>
      </c>
      <c r="I60" s="12">
        <f>$F60*[1]总表!F$4</f>
        <v>1440</v>
      </c>
      <c r="J60" s="12">
        <f>$F60*[1]总表!G$4</f>
        <v>1440</v>
      </c>
    </row>
    <row r="61" spans="1:13" ht="20.100000000000001" customHeight="1" x14ac:dyDescent="0.2">
      <c r="A61" s="12">
        <f t="shared" si="0"/>
        <v>160</v>
      </c>
      <c r="B61" s="12">
        <v>60</v>
      </c>
      <c r="C61" s="12">
        <v>1</v>
      </c>
      <c r="D61" s="12">
        <f t="shared" si="3"/>
        <v>62</v>
      </c>
      <c r="E61" s="12">
        <v>5</v>
      </c>
      <c r="F61" s="12">
        <f t="shared" si="4"/>
        <v>53</v>
      </c>
      <c r="G61" s="12">
        <f>$D61*[1]总表!D$4</f>
        <v>65100</v>
      </c>
      <c r="H61" s="12">
        <f>$F61*[1]总表!E$4</f>
        <v>5300</v>
      </c>
      <c r="I61" s="12">
        <f>$F61*[1]总表!F$4</f>
        <v>1590</v>
      </c>
      <c r="J61" s="12">
        <f>$F61*[1]总表!G$4</f>
        <v>1590</v>
      </c>
    </row>
    <row r="62" spans="1:13" ht="20.100000000000001" customHeight="1" x14ac:dyDescent="0.2">
      <c r="A62" s="12">
        <f t="shared" si="0"/>
        <v>161</v>
      </c>
      <c r="B62" s="12">
        <v>61</v>
      </c>
      <c r="C62" s="12">
        <v>1</v>
      </c>
      <c r="D62" s="12">
        <f t="shared" si="3"/>
        <v>63</v>
      </c>
      <c r="E62" s="12">
        <v>0.5</v>
      </c>
      <c r="F62" s="12">
        <f t="shared" si="4"/>
        <v>53.5</v>
      </c>
      <c r="G62" s="12">
        <f>$D62*[1]总表!D$4</f>
        <v>66150</v>
      </c>
      <c r="H62" s="12">
        <f>$F62*[1]总表!E$4</f>
        <v>5350</v>
      </c>
      <c r="I62" s="12">
        <f>$F62*[1]总表!F$4</f>
        <v>1605</v>
      </c>
      <c r="J62" s="12">
        <f>$F62*[1]总表!G$4</f>
        <v>1605</v>
      </c>
    </row>
    <row r="63" spans="1:13" ht="20.100000000000001" customHeight="1" x14ac:dyDescent="0.2">
      <c r="A63" s="12">
        <f t="shared" si="0"/>
        <v>162</v>
      </c>
      <c r="B63" s="12">
        <v>62</v>
      </c>
      <c r="C63" s="12">
        <v>1</v>
      </c>
      <c r="D63" s="12">
        <f t="shared" si="3"/>
        <v>64</v>
      </c>
      <c r="E63" s="12">
        <v>0.5</v>
      </c>
      <c r="F63" s="12">
        <f t="shared" si="4"/>
        <v>54</v>
      </c>
      <c r="G63" s="12">
        <f>$D63*[1]总表!D$4</f>
        <v>67200</v>
      </c>
      <c r="H63" s="12">
        <f>$F63*[1]总表!E$4</f>
        <v>5400</v>
      </c>
      <c r="I63" s="12">
        <f>$F63*[1]总表!F$4</f>
        <v>1620</v>
      </c>
      <c r="J63" s="12">
        <f>$F63*[1]总表!G$4</f>
        <v>1620</v>
      </c>
    </row>
    <row r="64" spans="1:13" ht="20.100000000000001" customHeight="1" x14ac:dyDescent="0.2">
      <c r="A64" s="12">
        <f t="shared" si="0"/>
        <v>163</v>
      </c>
      <c r="B64" s="12">
        <v>63</v>
      </c>
      <c r="C64" s="12">
        <v>1</v>
      </c>
      <c r="D64" s="12">
        <f t="shared" si="3"/>
        <v>65</v>
      </c>
      <c r="E64" s="12">
        <v>0.5</v>
      </c>
      <c r="F64" s="12">
        <f t="shared" si="4"/>
        <v>54.5</v>
      </c>
      <c r="G64" s="12">
        <f>$D64*[1]总表!D$4</f>
        <v>68250</v>
      </c>
      <c r="H64" s="12">
        <f>$F64*[1]总表!E$4</f>
        <v>5450</v>
      </c>
      <c r="I64" s="12">
        <f>$F64*[1]总表!F$4</f>
        <v>1635</v>
      </c>
      <c r="J64" s="12">
        <f>$F64*[1]总表!G$4</f>
        <v>1635</v>
      </c>
    </row>
    <row r="65" spans="1:17" ht="20.100000000000001" customHeight="1" x14ac:dyDescent="0.2">
      <c r="A65" s="12">
        <f t="shared" si="0"/>
        <v>164</v>
      </c>
      <c r="B65" s="12">
        <v>64</v>
      </c>
      <c r="C65" s="12">
        <v>1</v>
      </c>
      <c r="D65" s="12">
        <f t="shared" si="3"/>
        <v>66</v>
      </c>
      <c r="E65" s="12">
        <v>0.5</v>
      </c>
      <c r="F65" s="12">
        <f t="shared" si="4"/>
        <v>55</v>
      </c>
      <c r="G65" s="12">
        <f>$D65*[1]总表!D$4</f>
        <v>69300</v>
      </c>
      <c r="H65" s="12">
        <f>$F65*[1]总表!E$4</f>
        <v>5500</v>
      </c>
      <c r="I65" s="12">
        <f>$F65*[1]总表!F$4</f>
        <v>1650</v>
      </c>
      <c r="J65" s="12">
        <f>$F65*[1]总表!G$4</f>
        <v>1650</v>
      </c>
    </row>
    <row r="66" spans="1:17" ht="20.100000000000001" customHeight="1" x14ac:dyDescent="0.2">
      <c r="A66" s="12">
        <f t="shared" si="0"/>
        <v>165</v>
      </c>
      <c r="B66" s="12">
        <v>65</v>
      </c>
      <c r="C66" s="12">
        <v>1</v>
      </c>
      <c r="D66" s="12">
        <f t="shared" si="3"/>
        <v>67</v>
      </c>
      <c r="E66" s="12">
        <v>0.5</v>
      </c>
      <c r="F66" s="12">
        <f t="shared" si="4"/>
        <v>55.5</v>
      </c>
      <c r="G66" s="12">
        <f>$D66*[1]总表!D$4</f>
        <v>70350</v>
      </c>
      <c r="H66" s="12">
        <f>$F66*[1]总表!E$4</f>
        <v>5550</v>
      </c>
      <c r="I66" s="12">
        <f>$F66*[1]总表!F$4</f>
        <v>1665</v>
      </c>
      <c r="J66" s="12">
        <f>$F66*[1]总表!G$4</f>
        <v>1665</v>
      </c>
    </row>
    <row r="67" spans="1:17" ht="20.100000000000001" customHeight="1" x14ac:dyDescent="0.2">
      <c r="A67" s="12">
        <f t="shared" ref="A67:A71" si="5">100+B67</f>
        <v>166</v>
      </c>
      <c r="B67" s="12">
        <v>66</v>
      </c>
      <c r="C67" s="12">
        <v>1</v>
      </c>
      <c r="D67" s="12">
        <f t="shared" si="3"/>
        <v>68</v>
      </c>
      <c r="E67" s="12">
        <v>0.5</v>
      </c>
      <c r="F67" s="12">
        <f t="shared" si="4"/>
        <v>56</v>
      </c>
      <c r="G67" s="12">
        <f>$D67*[1]总表!D$4</f>
        <v>71400</v>
      </c>
      <c r="H67" s="12">
        <f>$F67*[1]总表!E$4</f>
        <v>5600</v>
      </c>
      <c r="I67" s="12">
        <f>$F67*[1]总表!F$4</f>
        <v>1680</v>
      </c>
      <c r="J67" s="12">
        <f>$F67*[1]总表!G$4</f>
        <v>1680</v>
      </c>
    </row>
    <row r="68" spans="1:17" ht="20.100000000000001" customHeight="1" x14ac:dyDescent="0.2">
      <c r="A68" s="12">
        <f t="shared" si="5"/>
        <v>167</v>
      </c>
      <c r="B68" s="12">
        <v>67</v>
      </c>
      <c r="C68" s="12">
        <v>1</v>
      </c>
      <c r="D68" s="12">
        <f t="shared" ref="D68:D71" si="6">D67+C67</f>
        <v>69</v>
      </c>
      <c r="E68" s="12">
        <v>0.5</v>
      </c>
      <c r="F68" s="12">
        <f t="shared" ref="F68:F71" si="7">E68+F67</f>
        <v>56.5</v>
      </c>
      <c r="G68" s="12">
        <f>$D68*[1]总表!D$4</f>
        <v>72450</v>
      </c>
      <c r="H68" s="12">
        <f>$F68*[1]总表!E$4</f>
        <v>5650</v>
      </c>
      <c r="I68" s="12">
        <f>$F68*[1]总表!F$4</f>
        <v>1695</v>
      </c>
      <c r="J68" s="12">
        <f>$F68*[1]总表!G$4</f>
        <v>1695</v>
      </c>
    </row>
    <row r="69" spans="1:17" ht="20.100000000000001" customHeight="1" x14ac:dyDescent="0.2">
      <c r="A69" s="12">
        <f t="shared" si="5"/>
        <v>168</v>
      </c>
      <c r="B69" s="12">
        <v>68</v>
      </c>
      <c r="C69" s="12">
        <v>1</v>
      </c>
      <c r="D69" s="12">
        <f t="shared" si="6"/>
        <v>70</v>
      </c>
      <c r="E69" s="12">
        <v>0.5</v>
      </c>
      <c r="F69" s="12">
        <f t="shared" si="7"/>
        <v>57</v>
      </c>
      <c r="G69" s="12">
        <f>$D69*[1]总表!D$4</f>
        <v>73500</v>
      </c>
      <c r="H69" s="12">
        <f>$F69*[1]总表!E$4</f>
        <v>5700</v>
      </c>
      <c r="I69" s="12">
        <f>$F69*[1]总表!F$4</f>
        <v>1710</v>
      </c>
      <c r="J69" s="12">
        <f>$F69*[1]总表!G$4</f>
        <v>1710</v>
      </c>
    </row>
    <row r="70" spans="1:17" ht="20.100000000000001" customHeight="1" x14ac:dyDescent="0.2">
      <c r="A70" s="12">
        <f t="shared" si="5"/>
        <v>169</v>
      </c>
      <c r="B70" s="12">
        <v>69</v>
      </c>
      <c r="C70" s="12">
        <v>1</v>
      </c>
      <c r="D70" s="12">
        <f t="shared" si="6"/>
        <v>71</v>
      </c>
      <c r="E70" s="12">
        <v>0.5</v>
      </c>
      <c r="F70" s="12">
        <f t="shared" si="7"/>
        <v>57.5</v>
      </c>
      <c r="G70" s="12">
        <f>$D70*[1]总表!D$4</f>
        <v>74550</v>
      </c>
      <c r="H70" s="12">
        <f>$F70*[1]总表!E$4</f>
        <v>5750</v>
      </c>
      <c r="I70" s="12">
        <f>$F70*[1]总表!F$4</f>
        <v>1725</v>
      </c>
      <c r="J70" s="12">
        <f>$F70*[1]总表!G$4</f>
        <v>1725</v>
      </c>
    </row>
    <row r="71" spans="1:17" ht="20.100000000000001" customHeight="1" x14ac:dyDescent="0.2">
      <c r="A71" s="12">
        <f t="shared" si="5"/>
        <v>170</v>
      </c>
      <c r="B71" s="12">
        <v>70</v>
      </c>
      <c r="C71" s="12">
        <v>1</v>
      </c>
      <c r="D71" s="12">
        <f t="shared" si="6"/>
        <v>72</v>
      </c>
      <c r="E71" s="12">
        <v>0.5</v>
      </c>
      <c r="F71" s="12">
        <f t="shared" si="7"/>
        <v>58</v>
      </c>
      <c r="G71" s="12">
        <f>$D71*[1]总表!D$4</f>
        <v>75600</v>
      </c>
      <c r="H71" s="12">
        <f>$F71*[1]总表!E$4</f>
        <v>5800</v>
      </c>
      <c r="I71" s="12">
        <f>$F71*[1]总表!F$4</f>
        <v>1740</v>
      </c>
      <c r="J71" s="12">
        <f>$F71*[1]总表!G$4</f>
        <v>1740</v>
      </c>
    </row>
    <row r="72" spans="1:17" ht="20.100000000000001" customHeight="1" x14ac:dyDescent="0.2"/>
    <row r="73" spans="1:17" ht="20.100000000000001" customHeight="1" x14ac:dyDescent="0.2"/>
    <row r="74" spans="1:17" ht="20.100000000000001" customHeight="1" x14ac:dyDescent="0.2">
      <c r="B74" s="10" t="s">
        <v>49</v>
      </c>
      <c r="C74" s="10" t="s">
        <v>51</v>
      </c>
      <c r="D74" s="10" t="s">
        <v>52</v>
      </c>
      <c r="E74" s="10" t="s">
        <v>1</v>
      </c>
      <c r="F74" s="10" t="s">
        <v>0</v>
      </c>
      <c r="G74" s="10" t="s">
        <v>22</v>
      </c>
      <c r="H74" s="10" t="s">
        <v>23</v>
      </c>
      <c r="N74" s="20"/>
      <c r="O74" s="20"/>
      <c r="P74"/>
      <c r="Q74"/>
    </row>
    <row r="75" spans="1:17" ht="20.100000000000001" customHeight="1" x14ac:dyDescent="0.2">
      <c r="A75" s="12">
        <f>B75+300</f>
        <v>301</v>
      </c>
      <c r="B75" s="12">
        <v>1</v>
      </c>
      <c r="C75" s="12">
        <v>8</v>
      </c>
      <c r="D75" s="12">
        <v>1.25</v>
      </c>
      <c r="E75" s="12">
        <f>C75*G2</f>
        <v>8400</v>
      </c>
      <c r="F75" s="12">
        <f>ROUND($D75*H2,0)</f>
        <v>125</v>
      </c>
      <c r="G75" s="12">
        <f>ROUND($D75*I2,0)</f>
        <v>38</v>
      </c>
      <c r="H75" s="12">
        <f>ROUND($D75*J2,0)</f>
        <v>38</v>
      </c>
      <c r="N75" s="20"/>
      <c r="O75" s="20"/>
      <c r="P75"/>
      <c r="Q75"/>
    </row>
    <row r="76" spans="1:17" ht="20.100000000000001" customHeight="1" x14ac:dyDescent="0.2">
      <c r="A76" s="12">
        <f t="shared" ref="A76:A139" si="8">B76+300</f>
        <v>302</v>
      </c>
      <c r="B76" s="12">
        <v>2</v>
      </c>
      <c r="C76" s="12">
        <v>8</v>
      </c>
      <c r="D76" s="12">
        <v>1.25</v>
      </c>
      <c r="E76" s="12">
        <f>C76*G3</f>
        <v>12600</v>
      </c>
      <c r="F76" s="12">
        <f>ROUND($D76*H3,0)</f>
        <v>188</v>
      </c>
      <c r="G76" s="12">
        <f>ROUND($D76*I3,0)</f>
        <v>56</v>
      </c>
      <c r="H76" s="12">
        <f>ROUND($D76*J3,0)</f>
        <v>56</v>
      </c>
      <c r="N76" s="20"/>
      <c r="O76" s="20"/>
      <c r="P76"/>
      <c r="Q76"/>
    </row>
    <row r="77" spans="1:17" ht="20.100000000000001" customHeight="1" x14ac:dyDescent="0.2">
      <c r="A77" s="12">
        <f t="shared" si="8"/>
        <v>303</v>
      </c>
      <c r="B77" s="12">
        <v>3</v>
      </c>
      <c r="C77" s="12">
        <v>8</v>
      </c>
      <c r="D77" s="12">
        <v>1.25</v>
      </c>
      <c r="E77" s="12">
        <f>C77*G4</f>
        <v>16800</v>
      </c>
      <c r="F77" s="12">
        <f>ROUND($D77*H4,0)</f>
        <v>250</v>
      </c>
      <c r="G77" s="12">
        <f>ROUND($D77*I4,0)</f>
        <v>75</v>
      </c>
      <c r="H77" s="12">
        <f>ROUND($D77*J4,0)</f>
        <v>75</v>
      </c>
      <c r="N77" s="20"/>
      <c r="O77" s="20"/>
      <c r="P77"/>
      <c r="Q77"/>
    </row>
    <row r="78" spans="1:17" ht="20.100000000000001" customHeight="1" x14ac:dyDescent="0.2">
      <c r="A78" s="12">
        <f t="shared" si="8"/>
        <v>304</v>
      </c>
      <c r="B78" s="12">
        <v>4</v>
      </c>
      <c r="C78" s="12">
        <v>8</v>
      </c>
      <c r="D78" s="12">
        <v>1.25</v>
      </c>
      <c r="E78" s="12">
        <f>C78*G5</f>
        <v>21000</v>
      </c>
      <c r="F78" s="12">
        <f>ROUND($D78*H5,0)</f>
        <v>313</v>
      </c>
      <c r="G78" s="12">
        <f>ROUND($D78*I5,0)</f>
        <v>94</v>
      </c>
      <c r="H78" s="12">
        <f>ROUND($D78*J5,0)</f>
        <v>94</v>
      </c>
      <c r="N78" s="20"/>
      <c r="O78" s="20"/>
      <c r="P78"/>
      <c r="Q78"/>
    </row>
    <row r="79" spans="1:17" ht="20.100000000000001" customHeight="1" x14ac:dyDescent="0.2">
      <c r="A79" s="12">
        <f t="shared" si="8"/>
        <v>305</v>
      </c>
      <c r="B79" s="12">
        <v>5</v>
      </c>
      <c r="C79" s="12">
        <v>8</v>
      </c>
      <c r="D79" s="12">
        <v>1.25</v>
      </c>
      <c r="E79" s="12">
        <f>C79*G6</f>
        <v>25200</v>
      </c>
      <c r="F79" s="12">
        <f>ROUND($D79*H6,0)</f>
        <v>375</v>
      </c>
      <c r="G79" s="12">
        <f>ROUND($D79*I6,0)</f>
        <v>113</v>
      </c>
      <c r="H79" s="12">
        <f>ROUND($D79*J6,0)</f>
        <v>113</v>
      </c>
      <c r="N79" s="20"/>
      <c r="O79" s="20"/>
      <c r="P79"/>
      <c r="Q79"/>
    </row>
    <row r="80" spans="1:17" ht="20.100000000000001" customHeight="1" x14ac:dyDescent="0.2">
      <c r="A80" s="12">
        <f t="shared" si="8"/>
        <v>306</v>
      </c>
      <c r="B80" s="12">
        <v>6</v>
      </c>
      <c r="C80" s="12">
        <v>8</v>
      </c>
      <c r="D80" s="12">
        <v>1.25</v>
      </c>
      <c r="E80" s="12">
        <f>C80*G7</f>
        <v>29400</v>
      </c>
      <c r="F80" s="12">
        <f>ROUND($D80*H7,0)</f>
        <v>500</v>
      </c>
      <c r="G80" s="12">
        <f>ROUND($D80*I7,0)</f>
        <v>150</v>
      </c>
      <c r="H80" s="12">
        <f>ROUND($D80*J7,0)</f>
        <v>150</v>
      </c>
      <c r="N80" s="20"/>
      <c r="O80" s="20"/>
      <c r="P80"/>
      <c r="Q80"/>
    </row>
    <row r="81" spans="1:17" ht="20.100000000000001" customHeight="1" x14ac:dyDescent="0.2">
      <c r="A81" s="12">
        <f t="shared" si="8"/>
        <v>307</v>
      </c>
      <c r="B81" s="12">
        <v>7</v>
      </c>
      <c r="C81" s="12">
        <v>8</v>
      </c>
      <c r="D81" s="12">
        <v>1.25</v>
      </c>
      <c r="E81" s="12">
        <f>C81*G8</f>
        <v>33600</v>
      </c>
      <c r="F81" s="12">
        <f>ROUND($D81*H8,0)</f>
        <v>625</v>
      </c>
      <c r="G81" s="12">
        <f>ROUND($D81*I8,0)</f>
        <v>188</v>
      </c>
      <c r="H81" s="12">
        <f>ROUND($D81*J8,0)</f>
        <v>188</v>
      </c>
      <c r="N81" s="20"/>
      <c r="O81" s="20"/>
      <c r="P81"/>
      <c r="Q81"/>
    </row>
    <row r="82" spans="1:17" ht="20.100000000000001" customHeight="1" x14ac:dyDescent="0.2">
      <c r="A82" s="12">
        <f t="shared" si="8"/>
        <v>308</v>
      </c>
      <c r="B82" s="12">
        <v>8</v>
      </c>
      <c r="C82" s="12">
        <v>8</v>
      </c>
      <c r="D82" s="12">
        <v>1.25</v>
      </c>
      <c r="E82" s="12">
        <f>C82*G9</f>
        <v>37800</v>
      </c>
      <c r="F82" s="12">
        <f>ROUND($D82*H9,0)</f>
        <v>750</v>
      </c>
      <c r="G82" s="12">
        <f>ROUND($D82*I9,0)</f>
        <v>225</v>
      </c>
      <c r="H82" s="12">
        <f>ROUND($D82*J9,0)</f>
        <v>225</v>
      </c>
      <c r="N82" s="20"/>
      <c r="O82" s="20"/>
      <c r="P82"/>
      <c r="Q82"/>
    </row>
    <row r="83" spans="1:17" ht="20.100000000000001" customHeight="1" x14ac:dyDescent="0.2">
      <c r="A83" s="12">
        <f t="shared" si="8"/>
        <v>309</v>
      </c>
      <c r="B83" s="12">
        <v>9</v>
      </c>
      <c r="C83" s="12">
        <v>8</v>
      </c>
      <c r="D83" s="12">
        <v>1.25</v>
      </c>
      <c r="E83" s="12">
        <f>C83*G10</f>
        <v>42000</v>
      </c>
      <c r="F83" s="12">
        <f>ROUND($D83*H10,0)</f>
        <v>875</v>
      </c>
      <c r="G83" s="12">
        <f>ROUND($D83*I10,0)</f>
        <v>263</v>
      </c>
      <c r="H83" s="12">
        <f>ROUND($D83*J10,0)</f>
        <v>263</v>
      </c>
      <c r="N83" s="20"/>
      <c r="O83" s="20"/>
      <c r="P83"/>
      <c r="Q83"/>
    </row>
    <row r="84" spans="1:17" ht="20.100000000000001" customHeight="1" x14ac:dyDescent="0.2">
      <c r="A84" s="12">
        <f t="shared" si="8"/>
        <v>310</v>
      </c>
      <c r="B84" s="12">
        <v>10</v>
      </c>
      <c r="C84" s="12">
        <v>8</v>
      </c>
      <c r="D84" s="12">
        <v>1.25</v>
      </c>
      <c r="E84" s="12">
        <f>C84*G11</f>
        <v>46200</v>
      </c>
      <c r="F84" s="12">
        <f>ROUND($D84*H11,0)</f>
        <v>1000</v>
      </c>
      <c r="G84" s="12">
        <f>ROUND($D84*I11,0)</f>
        <v>300</v>
      </c>
      <c r="H84" s="12">
        <f>ROUND($D84*J11,0)</f>
        <v>300</v>
      </c>
      <c r="N84" s="20"/>
      <c r="O84" s="20"/>
      <c r="P84"/>
      <c r="Q84"/>
    </row>
    <row r="85" spans="1:17" ht="20.100000000000001" customHeight="1" x14ac:dyDescent="0.2">
      <c r="A85" s="12">
        <f t="shared" si="8"/>
        <v>311</v>
      </c>
      <c r="B85" s="12">
        <v>11</v>
      </c>
      <c r="C85" s="12">
        <v>8</v>
      </c>
      <c r="D85" s="12">
        <v>1.25</v>
      </c>
      <c r="E85" s="12">
        <f>C85*G12</f>
        <v>50400</v>
      </c>
      <c r="F85" s="12">
        <f>ROUND($D85*H12,0)</f>
        <v>1125</v>
      </c>
      <c r="G85" s="12">
        <f>ROUND($D85*I12,0)</f>
        <v>338</v>
      </c>
      <c r="H85" s="12">
        <f>ROUND($D85*J12,0)</f>
        <v>338</v>
      </c>
      <c r="N85" s="20"/>
      <c r="O85" s="20"/>
      <c r="P85"/>
      <c r="Q85"/>
    </row>
    <row r="86" spans="1:17" ht="20.100000000000001" customHeight="1" x14ac:dyDescent="0.2">
      <c r="A86" s="12">
        <f t="shared" si="8"/>
        <v>312</v>
      </c>
      <c r="B86" s="12">
        <v>12</v>
      </c>
      <c r="C86" s="12">
        <v>8</v>
      </c>
      <c r="D86" s="12">
        <v>1.25</v>
      </c>
      <c r="E86" s="12">
        <f>C86*G13</f>
        <v>54600</v>
      </c>
      <c r="F86" s="12">
        <f>ROUND($D86*H13,0)</f>
        <v>1250</v>
      </c>
      <c r="G86" s="12">
        <f>ROUND($D86*I13,0)</f>
        <v>375</v>
      </c>
      <c r="H86" s="12">
        <f>ROUND($D86*J13,0)</f>
        <v>375</v>
      </c>
      <c r="N86" s="20"/>
      <c r="O86" s="20"/>
      <c r="P86"/>
      <c r="Q86"/>
    </row>
    <row r="87" spans="1:17" ht="20.100000000000001" customHeight="1" x14ac:dyDescent="0.2">
      <c r="A87" s="12">
        <f t="shared" si="8"/>
        <v>313</v>
      </c>
      <c r="B87" s="12">
        <v>13</v>
      </c>
      <c r="C87" s="12">
        <v>8</v>
      </c>
      <c r="D87" s="12">
        <v>1.25</v>
      </c>
      <c r="E87" s="12">
        <f>C87*G14</f>
        <v>58800</v>
      </c>
      <c r="F87" s="12">
        <f>ROUND($D87*H14,0)</f>
        <v>1375</v>
      </c>
      <c r="G87" s="12">
        <f>ROUND($D87*I14,0)</f>
        <v>413</v>
      </c>
      <c r="H87" s="12">
        <f>ROUND($D87*J14,0)</f>
        <v>413</v>
      </c>
      <c r="N87" s="20"/>
      <c r="O87" s="20"/>
      <c r="P87"/>
      <c r="Q87"/>
    </row>
    <row r="88" spans="1:17" ht="20.100000000000001" customHeight="1" x14ac:dyDescent="0.2">
      <c r="A88" s="12">
        <f t="shared" si="8"/>
        <v>314</v>
      </c>
      <c r="B88" s="12">
        <v>14</v>
      </c>
      <c r="C88" s="12">
        <v>8</v>
      </c>
      <c r="D88" s="12">
        <v>1.25</v>
      </c>
      <c r="E88" s="12">
        <f>C88*G15</f>
        <v>63000</v>
      </c>
      <c r="F88" s="12">
        <f>ROUND($D88*H15,0)</f>
        <v>1500</v>
      </c>
      <c r="G88" s="12">
        <f>ROUND($D88*I15,0)</f>
        <v>450</v>
      </c>
      <c r="H88" s="12">
        <f>ROUND($D88*J15,0)</f>
        <v>450</v>
      </c>
      <c r="N88" s="20"/>
      <c r="O88" s="20"/>
      <c r="P88"/>
      <c r="Q88"/>
    </row>
    <row r="89" spans="1:17" ht="20.100000000000001" customHeight="1" x14ac:dyDescent="0.2">
      <c r="A89" s="12">
        <f t="shared" si="8"/>
        <v>315</v>
      </c>
      <c r="B89" s="12">
        <v>15</v>
      </c>
      <c r="C89" s="12">
        <v>8</v>
      </c>
      <c r="D89" s="12">
        <v>1.25</v>
      </c>
      <c r="E89" s="12">
        <f>C89*G16</f>
        <v>67200</v>
      </c>
      <c r="F89" s="12">
        <f>ROUND($D89*H16,0)</f>
        <v>1625</v>
      </c>
      <c r="G89" s="12">
        <f>ROUND($D89*I16,0)</f>
        <v>488</v>
      </c>
      <c r="H89" s="12">
        <f>ROUND($D89*J16,0)</f>
        <v>488</v>
      </c>
      <c r="N89" s="20"/>
      <c r="O89" s="20"/>
      <c r="P89"/>
      <c r="Q89"/>
    </row>
    <row r="90" spans="1:17" ht="20.100000000000001" customHeight="1" x14ac:dyDescent="0.2">
      <c r="A90" s="12">
        <f t="shared" si="8"/>
        <v>316</v>
      </c>
      <c r="B90" s="12">
        <v>16</v>
      </c>
      <c r="C90" s="12">
        <v>8</v>
      </c>
      <c r="D90" s="12">
        <v>1.25</v>
      </c>
      <c r="E90" s="12">
        <f>C90*G17</f>
        <v>71400</v>
      </c>
      <c r="F90" s="12">
        <f>ROUND($D90*H17,0)</f>
        <v>1750</v>
      </c>
      <c r="G90" s="12">
        <f>ROUND($D90*I17,0)</f>
        <v>525</v>
      </c>
      <c r="H90" s="12">
        <f>ROUND($D90*J17,0)</f>
        <v>525</v>
      </c>
      <c r="N90" s="20"/>
      <c r="O90" s="20"/>
      <c r="P90"/>
      <c r="Q90"/>
    </row>
    <row r="91" spans="1:17" ht="20.100000000000001" customHeight="1" x14ac:dyDescent="0.2">
      <c r="A91" s="12">
        <f t="shared" si="8"/>
        <v>317</v>
      </c>
      <c r="B91" s="12">
        <v>17</v>
      </c>
      <c r="C91" s="12">
        <v>8</v>
      </c>
      <c r="D91" s="12">
        <v>1.25</v>
      </c>
      <c r="E91" s="12">
        <f>C91*G18</f>
        <v>75600</v>
      </c>
      <c r="F91" s="12">
        <f>ROUND($D91*H18,0)</f>
        <v>1875</v>
      </c>
      <c r="G91" s="12">
        <f>ROUND($D91*I18,0)</f>
        <v>563</v>
      </c>
      <c r="H91" s="12">
        <f>ROUND($D91*J18,0)</f>
        <v>563</v>
      </c>
      <c r="N91" s="20"/>
      <c r="O91" s="20"/>
      <c r="P91"/>
      <c r="Q91"/>
    </row>
    <row r="92" spans="1:17" ht="20.100000000000001" customHeight="1" x14ac:dyDescent="0.2">
      <c r="A92" s="12">
        <f t="shared" si="8"/>
        <v>318</v>
      </c>
      <c r="B92" s="12">
        <v>18</v>
      </c>
      <c r="C92" s="12">
        <v>8</v>
      </c>
      <c r="D92" s="12">
        <v>1.25</v>
      </c>
      <c r="E92" s="12">
        <f>C92*G19</f>
        <v>79800</v>
      </c>
      <c r="F92" s="12">
        <f>ROUND($D92*H19,0)</f>
        <v>2000</v>
      </c>
      <c r="G92" s="12">
        <f>ROUND($D92*I19,0)</f>
        <v>600</v>
      </c>
      <c r="H92" s="12">
        <f>ROUND($D92*J19,0)</f>
        <v>600</v>
      </c>
      <c r="N92" s="20"/>
      <c r="O92" s="20"/>
      <c r="P92"/>
      <c r="Q92"/>
    </row>
    <row r="93" spans="1:17" ht="20.100000000000001" customHeight="1" x14ac:dyDescent="0.2">
      <c r="A93" s="12">
        <f t="shared" si="8"/>
        <v>319</v>
      </c>
      <c r="B93" s="12">
        <v>19</v>
      </c>
      <c r="C93" s="12">
        <v>8</v>
      </c>
      <c r="D93" s="12">
        <v>1.25</v>
      </c>
      <c r="E93" s="12">
        <f>C93*G20</f>
        <v>84000</v>
      </c>
      <c r="F93" s="12">
        <f>ROUND($D93*H20,0)</f>
        <v>2125</v>
      </c>
      <c r="G93" s="12">
        <f>ROUND($D93*I20,0)</f>
        <v>638</v>
      </c>
      <c r="H93" s="12">
        <f>ROUND($D93*J20,0)</f>
        <v>638</v>
      </c>
      <c r="N93" s="20"/>
      <c r="O93" s="20"/>
      <c r="P93"/>
      <c r="Q93"/>
    </row>
    <row r="94" spans="1:17" ht="20.100000000000001" customHeight="1" x14ac:dyDescent="0.2">
      <c r="A94" s="12">
        <f t="shared" si="8"/>
        <v>320</v>
      </c>
      <c r="B94" s="12">
        <v>20</v>
      </c>
      <c r="C94" s="12">
        <v>8</v>
      </c>
      <c r="D94" s="12">
        <v>1.25</v>
      </c>
      <c r="E94" s="12">
        <f>C94*G21</f>
        <v>88200</v>
      </c>
      <c r="F94" s="12">
        <f>ROUND($D94*H21,0)</f>
        <v>2375</v>
      </c>
      <c r="G94" s="12">
        <f>ROUND($D94*I21,0)</f>
        <v>713</v>
      </c>
      <c r="H94" s="12">
        <f>ROUND($D94*J21,0)</f>
        <v>713</v>
      </c>
      <c r="N94" s="20"/>
      <c r="O94" s="20"/>
      <c r="P94"/>
      <c r="Q94"/>
    </row>
    <row r="95" spans="1:17" ht="20.100000000000001" customHeight="1" x14ac:dyDescent="0.2">
      <c r="A95" s="12">
        <f t="shared" si="8"/>
        <v>321</v>
      </c>
      <c r="B95" s="12">
        <v>21</v>
      </c>
      <c r="C95" s="12">
        <v>8</v>
      </c>
      <c r="D95" s="12">
        <v>1.25</v>
      </c>
      <c r="E95" s="12">
        <f>C95*G22</f>
        <v>92400</v>
      </c>
      <c r="F95" s="12">
        <f>ROUND($D95*H22,0)</f>
        <v>2438</v>
      </c>
      <c r="G95" s="12">
        <f>ROUND($D95*I22,0)</f>
        <v>731</v>
      </c>
      <c r="H95" s="12">
        <f>ROUND($D95*J22,0)</f>
        <v>731</v>
      </c>
      <c r="N95" s="20"/>
      <c r="O95" s="20"/>
      <c r="P95"/>
      <c r="Q95"/>
    </row>
    <row r="96" spans="1:17" ht="20.100000000000001" customHeight="1" x14ac:dyDescent="0.2">
      <c r="A96" s="12">
        <f t="shared" si="8"/>
        <v>322</v>
      </c>
      <c r="B96" s="12">
        <v>22</v>
      </c>
      <c r="C96" s="12">
        <v>8</v>
      </c>
      <c r="D96" s="12">
        <v>1.25</v>
      </c>
      <c r="E96" s="12">
        <f>C96*G23</f>
        <v>100800</v>
      </c>
      <c r="F96" s="12">
        <f>ROUND($D96*H23,0)</f>
        <v>2500</v>
      </c>
      <c r="G96" s="12">
        <f>ROUND($D96*I23,0)</f>
        <v>750</v>
      </c>
      <c r="H96" s="12">
        <f>ROUND($D96*J23,0)</f>
        <v>750</v>
      </c>
      <c r="N96" s="20"/>
      <c r="O96" s="20"/>
      <c r="P96"/>
      <c r="Q96"/>
    </row>
    <row r="97" spans="1:17" ht="20.100000000000001" customHeight="1" x14ac:dyDescent="0.2">
      <c r="A97" s="12">
        <f t="shared" si="8"/>
        <v>323</v>
      </c>
      <c r="B97" s="12">
        <v>23</v>
      </c>
      <c r="C97" s="12">
        <v>8</v>
      </c>
      <c r="D97" s="12">
        <v>1.25</v>
      </c>
      <c r="E97" s="12">
        <f>C97*G24</f>
        <v>109200</v>
      </c>
      <c r="F97" s="12">
        <f>ROUND($D97*H24,0)</f>
        <v>2563</v>
      </c>
      <c r="G97" s="12">
        <f>ROUND($D97*I24,0)</f>
        <v>769</v>
      </c>
      <c r="H97" s="12">
        <f>ROUND($D97*J24,0)</f>
        <v>769</v>
      </c>
      <c r="N97" s="20"/>
      <c r="O97" s="20"/>
      <c r="P97"/>
      <c r="Q97"/>
    </row>
    <row r="98" spans="1:17" ht="20.100000000000001" customHeight="1" x14ac:dyDescent="0.2">
      <c r="A98" s="12">
        <f t="shared" si="8"/>
        <v>324</v>
      </c>
      <c r="B98" s="12">
        <v>24</v>
      </c>
      <c r="C98" s="12">
        <v>8</v>
      </c>
      <c r="D98" s="12">
        <v>1.25</v>
      </c>
      <c r="E98" s="12">
        <f>C98*G25</f>
        <v>117600</v>
      </c>
      <c r="F98" s="12">
        <f>ROUND($D98*H25,0)</f>
        <v>2625</v>
      </c>
      <c r="G98" s="12">
        <f>ROUND($D98*I25,0)</f>
        <v>788</v>
      </c>
      <c r="H98" s="12">
        <f>ROUND($D98*J25,0)</f>
        <v>788</v>
      </c>
      <c r="N98" s="20"/>
      <c r="O98" s="20"/>
      <c r="P98"/>
      <c r="Q98"/>
    </row>
    <row r="99" spans="1:17" ht="20.100000000000001" customHeight="1" x14ac:dyDescent="0.2">
      <c r="A99" s="12">
        <f t="shared" si="8"/>
        <v>325</v>
      </c>
      <c r="B99" s="12">
        <v>25</v>
      </c>
      <c r="C99" s="12">
        <v>8</v>
      </c>
      <c r="D99" s="12">
        <v>1.25</v>
      </c>
      <c r="E99" s="12">
        <f>C99*G26</f>
        <v>126000</v>
      </c>
      <c r="F99" s="12">
        <f>ROUND($D99*H26,0)</f>
        <v>2688</v>
      </c>
      <c r="G99" s="12">
        <f>ROUND($D99*I26,0)</f>
        <v>806</v>
      </c>
      <c r="H99" s="12">
        <f>ROUND($D99*J26,0)</f>
        <v>806</v>
      </c>
      <c r="N99" s="20"/>
      <c r="O99" s="20"/>
      <c r="P99"/>
      <c r="Q99"/>
    </row>
    <row r="100" spans="1:17" ht="20.100000000000001" customHeight="1" x14ac:dyDescent="0.2">
      <c r="A100" s="12">
        <f t="shared" si="8"/>
        <v>326</v>
      </c>
      <c r="B100" s="12">
        <v>26</v>
      </c>
      <c r="C100" s="12">
        <v>8</v>
      </c>
      <c r="D100" s="12">
        <v>1.25</v>
      </c>
      <c r="E100" s="12">
        <f>C100*G27</f>
        <v>134400</v>
      </c>
      <c r="F100" s="12">
        <f>ROUND($D100*H27,0)</f>
        <v>2750</v>
      </c>
      <c r="G100" s="12">
        <f>ROUND($D100*I27,0)</f>
        <v>825</v>
      </c>
      <c r="H100" s="12">
        <f>ROUND($D100*J27,0)</f>
        <v>825</v>
      </c>
      <c r="N100" s="20"/>
      <c r="O100" s="20"/>
      <c r="P100"/>
      <c r="Q100"/>
    </row>
    <row r="101" spans="1:17" ht="20.100000000000001" customHeight="1" x14ac:dyDescent="0.2">
      <c r="A101" s="12">
        <f t="shared" si="8"/>
        <v>327</v>
      </c>
      <c r="B101" s="12">
        <v>27</v>
      </c>
      <c r="C101" s="12">
        <v>8</v>
      </c>
      <c r="D101" s="12">
        <v>1.25</v>
      </c>
      <c r="E101" s="12">
        <f>C101*G28</f>
        <v>142800</v>
      </c>
      <c r="F101" s="12">
        <f>ROUND($D101*H28,0)</f>
        <v>2813</v>
      </c>
      <c r="G101" s="12">
        <f>ROUND($D101*I28,0)</f>
        <v>844</v>
      </c>
      <c r="H101" s="12">
        <f>ROUND($D101*J28,0)</f>
        <v>844</v>
      </c>
      <c r="N101" s="20"/>
      <c r="O101" s="20"/>
      <c r="P101"/>
      <c r="Q101"/>
    </row>
    <row r="102" spans="1:17" ht="20.100000000000001" customHeight="1" x14ac:dyDescent="0.2">
      <c r="A102" s="12">
        <f t="shared" si="8"/>
        <v>328</v>
      </c>
      <c r="B102" s="12">
        <v>28</v>
      </c>
      <c r="C102" s="12">
        <v>8</v>
      </c>
      <c r="D102" s="12">
        <v>1.25</v>
      </c>
      <c r="E102" s="12">
        <f>C102*G29</f>
        <v>151200</v>
      </c>
      <c r="F102" s="12">
        <f>ROUND($D102*H29,0)</f>
        <v>2875</v>
      </c>
      <c r="G102" s="12">
        <f>ROUND($D102*I29,0)</f>
        <v>863</v>
      </c>
      <c r="H102" s="12">
        <f>ROUND($D102*J29,0)</f>
        <v>863</v>
      </c>
      <c r="N102" s="20"/>
      <c r="O102" s="20"/>
      <c r="P102"/>
      <c r="Q102"/>
    </row>
    <row r="103" spans="1:17" ht="20.100000000000001" customHeight="1" x14ac:dyDescent="0.2">
      <c r="A103" s="12">
        <f t="shared" si="8"/>
        <v>329</v>
      </c>
      <c r="B103" s="12">
        <v>29</v>
      </c>
      <c r="C103" s="12">
        <v>8</v>
      </c>
      <c r="D103" s="12">
        <v>1.25</v>
      </c>
      <c r="E103" s="12">
        <f>C103*G30</f>
        <v>159600</v>
      </c>
      <c r="F103" s="12">
        <f>ROUND($D103*H30,0)</f>
        <v>2938</v>
      </c>
      <c r="G103" s="12">
        <f>ROUND($D103*I30,0)</f>
        <v>881</v>
      </c>
      <c r="H103" s="12">
        <f>ROUND($D103*J30,0)</f>
        <v>881</v>
      </c>
      <c r="N103" s="20"/>
      <c r="O103" s="20"/>
      <c r="P103"/>
      <c r="Q103"/>
    </row>
    <row r="104" spans="1:17" ht="20.100000000000001" customHeight="1" x14ac:dyDescent="0.2">
      <c r="A104" s="12">
        <f t="shared" si="8"/>
        <v>330</v>
      </c>
      <c r="B104" s="12">
        <v>30</v>
      </c>
      <c r="C104" s="12">
        <v>8</v>
      </c>
      <c r="D104" s="12">
        <v>1.25</v>
      </c>
      <c r="E104" s="12">
        <f>C104*G31</f>
        <v>168000</v>
      </c>
      <c r="F104" s="12">
        <f>ROUND($D104*H31,0)</f>
        <v>3313</v>
      </c>
      <c r="G104" s="12">
        <f>ROUND($D104*I31,0)</f>
        <v>994</v>
      </c>
      <c r="H104" s="12">
        <f>ROUND($D104*J31,0)</f>
        <v>994</v>
      </c>
      <c r="N104" s="20"/>
      <c r="O104" s="20"/>
      <c r="P104"/>
      <c r="Q104"/>
    </row>
    <row r="105" spans="1:17" ht="20.100000000000001" customHeight="1" x14ac:dyDescent="0.2">
      <c r="A105" s="12">
        <f t="shared" si="8"/>
        <v>331</v>
      </c>
      <c r="B105" s="12">
        <v>31</v>
      </c>
      <c r="C105" s="12">
        <v>8</v>
      </c>
      <c r="D105" s="12">
        <v>1.25</v>
      </c>
      <c r="E105" s="12">
        <f>C105*G32</f>
        <v>210000</v>
      </c>
      <c r="F105" s="12">
        <f>ROUND($D105*H32,0)</f>
        <v>3375</v>
      </c>
      <c r="G105" s="12">
        <f>ROUND($D105*I32,0)</f>
        <v>1013</v>
      </c>
      <c r="H105" s="12">
        <f>ROUND($D105*J32,0)</f>
        <v>1013</v>
      </c>
      <c r="N105" s="20"/>
      <c r="O105" s="20"/>
      <c r="P105"/>
      <c r="Q105"/>
    </row>
    <row r="106" spans="1:17" ht="20.100000000000001" customHeight="1" x14ac:dyDescent="0.2">
      <c r="A106" s="12">
        <f t="shared" si="8"/>
        <v>332</v>
      </c>
      <c r="B106" s="12">
        <v>32</v>
      </c>
      <c r="C106" s="12">
        <v>8</v>
      </c>
      <c r="D106" s="12">
        <v>1.25</v>
      </c>
      <c r="E106" s="12">
        <f>C106*G33</f>
        <v>218400</v>
      </c>
      <c r="F106" s="12">
        <f>ROUND($D106*H33,0)</f>
        <v>3438</v>
      </c>
      <c r="G106" s="12">
        <f>ROUND($D106*I33,0)</f>
        <v>1031</v>
      </c>
      <c r="H106" s="12">
        <f>ROUND($D106*J33,0)</f>
        <v>1031</v>
      </c>
      <c r="N106" s="20"/>
      <c r="O106" s="20"/>
      <c r="P106"/>
      <c r="Q106"/>
    </row>
    <row r="107" spans="1:17" ht="20.100000000000001" customHeight="1" x14ac:dyDescent="0.2">
      <c r="A107" s="12">
        <f t="shared" si="8"/>
        <v>333</v>
      </c>
      <c r="B107" s="12">
        <v>33</v>
      </c>
      <c r="C107" s="12">
        <v>8</v>
      </c>
      <c r="D107" s="12">
        <v>1.25</v>
      </c>
      <c r="E107" s="12">
        <f>C107*G34</f>
        <v>226800</v>
      </c>
      <c r="F107" s="12">
        <f>ROUND($D107*H34,0)</f>
        <v>3500</v>
      </c>
      <c r="G107" s="12">
        <f>ROUND($D107*I34,0)</f>
        <v>1050</v>
      </c>
      <c r="H107" s="12">
        <f>ROUND($D107*J34,0)</f>
        <v>1050</v>
      </c>
      <c r="N107" s="20"/>
      <c r="O107" s="20"/>
      <c r="P107"/>
      <c r="Q107"/>
    </row>
    <row r="108" spans="1:17" ht="20.100000000000001" customHeight="1" x14ac:dyDescent="0.2">
      <c r="A108" s="12">
        <f t="shared" si="8"/>
        <v>334</v>
      </c>
      <c r="B108" s="12">
        <v>34</v>
      </c>
      <c r="C108" s="12">
        <v>8</v>
      </c>
      <c r="D108" s="12">
        <v>1.25</v>
      </c>
      <c r="E108" s="12">
        <f>C108*G35</f>
        <v>235200</v>
      </c>
      <c r="F108" s="12">
        <f>ROUND($D108*H35,0)</f>
        <v>3563</v>
      </c>
      <c r="G108" s="12">
        <f>ROUND($D108*I35,0)</f>
        <v>1069</v>
      </c>
      <c r="H108" s="12">
        <f>ROUND($D108*J35,0)</f>
        <v>1069</v>
      </c>
      <c r="N108" s="20"/>
      <c r="O108" s="20"/>
      <c r="P108"/>
      <c r="Q108"/>
    </row>
    <row r="109" spans="1:17" ht="20.100000000000001" customHeight="1" x14ac:dyDescent="0.2">
      <c r="A109" s="12">
        <f t="shared" si="8"/>
        <v>335</v>
      </c>
      <c r="B109" s="12">
        <v>35</v>
      </c>
      <c r="C109" s="12">
        <v>8</v>
      </c>
      <c r="D109" s="12">
        <v>1.25</v>
      </c>
      <c r="E109" s="12">
        <f>C109*G36</f>
        <v>243600</v>
      </c>
      <c r="F109" s="12">
        <f>ROUND($D109*H36,0)</f>
        <v>3625</v>
      </c>
      <c r="G109" s="12">
        <f>ROUND($D109*I36,0)</f>
        <v>1088</v>
      </c>
      <c r="H109" s="12">
        <f>ROUND($D109*J36,0)</f>
        <v>1088</v>
      </c>
      <c r="N109" s="20"/>
      <c r="O109" s="20"/>
      <c r="P109"/>
      <c r="Q109"/>
    </row>
    <row r="110" spans="1:17" ht="20.100000000000001" customHeight="1" x14ac:dyDescent="0.2">
      <c r="A110" s="12">
        <f t="shared" si="8"/>
        <v>336</v>
      </c>
      <c r="B110" s="12">
        <v>36</v>
      </c>
      <c r="C110" s="12">
        <v>8</v>
      </c>
      <c r="D110" s="12">
        <v>1.25</v>
      </c>
      <c r="E110" s="12">
        <f>C110*G37</f>
        <v>252000</v>
      </c>
      <c r="F110" s="12">
        <f>ROUND($D110*H37,0)</f>
        <v>3688</v>
      </c>
      <c r="G110" s="12">
        <f>ROUND($D110*I37,0)</f>
        <v>1106</v>
      </c>
      <c r="H110" s="12">
        <f>ROUND($D110*J37,0)</f>
        <v>1106</v>
      </c>
      <c r="N110" s="20"/>
      <c r="O110" s="20"/>
      <c r="P110"/>
      <c r="Q110"/>
    </row>
    <row r="111" spans="1:17" ht="20.100000000000001" customHeight="1" x14ac:dyDescent="0.2">
      <c r="A111" s="12">
        <f t="shared" si="8"/>
        <v>337</v>
      </c>
      <c r="B111" s="12">
        <v>37</v>
      </c>
      <c r="C111" s="12">
        <v>8</v>
      </c>
      <c r="D111" s="12">
        <v>1.25</v>
      </c>
      <c r="E111" s="12">
        <f>C111*G38</f>
        <v>260400</v>
      </c>
      <c r="F111" s="12">
        <f>ROUND($D111*H38,0)</f>
        <v>3750</v>
      </c>
      <c r="G111" s="12">
        <f>ROUND($D111*I38,0)</f>
        <v>1125</v>
      </c>
      <c r="H111" s="12">
        <f>ROUND($D111*J38,0)</f>
        <v>1125</v>
      </c>
      <c r="N111" s="20"/>
      <c r="O111" s="20"/>
      <c r="P111"/>
      <c r="Q111"/>
    </row>
    <row r="112" spans="1:17" ht="20.100000000000001" customHeight="1" x14ac:dyDescent="0.2">
      <c r="A112" s="12">
        <f t="shared" si="8"/>
        <v>338</v>
      </c>
      <c r="B112" s="12">
        <v>38</v>
      </c>
      <c r="C112" s="12">
        <v>8</v>
      </c>
      <c r="D112" s="12">
        <v>1.25</v>
      </c>
      <c r="E112" s="12">
        <f>C112*G39</f>
        <v>268800</v>
      </c>
      <c r="F112" s="12">
        <f>ROUND($D112*H39,0)</f>
        <v>3813</v>
      </c>
      <c r="G112" s="12">
        <f>ROUND($D112*I39,0)</f>
        <v>1144</v>
      </c>
      <c r="H112" s="12">
        <f>ROUND($D112*J39,0)</f>
        <v>1144</v>
      </c>
      <c r="N112" s="20"/>
      <c r="O112" s="20"/>
      <c r="P112"/>
      <c r="Q112"/>
    </row>
    <row r="113" spans="1:17" ht="20.100000000000001" customHeight="1" x14ac:dyDescent="0.2">
      <c r="A113" s="12">
        <f t="shared" si="8"/>
        <v>339</v>
      </c>
      <c r="B113" s="12">
        <v>39</v>
      </c>
      <c r="C113" s="12">
        <v>8</v>
      </c>
      <c r="D113" s="12">
        <v>1.25</v>
      </c>
      <c r="E113" s="12">
        <f>C113*G40</f>
        <v>277200</v>
      </c>
      <c r="F113" s="12">
        <f>ROUND($D113*H40,0)</f>
        <v>3875</v>
      </c>
      <c r="G113" s="12">
        <f>ROUND($D113*I40,0)</f>
        <v>1163</v>
      </c>
      <c r="H113" s="12">
        <f>ROUND($D113*J40,0)</f>
        <v>1163</v>
      </c>
      <c r="N113" s="20"/>
      <c r="O113" s="20"/>
      <c r="P113"/>
      <c r="Q113"/>
    </row>
    <row r="114" spans="1:17" ht="20.100000000000001" customHeight="1" x14ac:dyDescent="0.2">
      <c r="A114" s="12">
        <f t="shared" si="8"/>
        <v>340</v>
      </c>
      <c r="B114" s="12">
        <v>40</v>
      </c>
      <c r="C114" s="12">
        <v>8</v>
      </c>
      <c r="D114" s="12">
        <v>1.25</v>
      </c>
      <c r="E114" s="12">
        <f>C114*G41</f>
        <v>285600</v>
      </c>
      <c r="F114" s="12">
        <f>ROUND($D114*H41,0)</f>
        <v>4375</v>
      </c>
      <c r="G114" s="12">
        <f>ROUND($D114*I41,0)</f>
        <v>1313</v>
      </c>
      <c r="H114" s="12">
        <f>ROUND($D114*J41,0)</f>
        <v>1313</v>
      </c>
      <c r="N114" s="20"/>
      <c r="O114" s="20"/>
      <c r="P114"/>
      <c r="Q114"/>
    </row>
    <row r="115" spans="1:17" ht="20.100000000000001" customHeight="1" x14ac:dyDescent="0.2">
      <c r="A115" s="12">
        <f t="shared" si="8"/>
        <v>341</v>
      </c>
      <c r="B115" s="12">
        <v>41</v>
      </c>
      <c r="C115" s="12">
        <v>8</v>
      </c>
      <c r="D115" s="12">
        <v>1.25</v>
      </c>
      <c r="E115" s="12">
        <f>C115*G42</f>
        <v>327600</v>
      </c>
      <c r="F115" s="12">
        <f>ROUND($D115*H42,0)</f>
        <v>4438</v>
      </c>
      <c r="G115" s="12">
        <f>ROUND($D115*I42,0)</f>
        <v>1331</v>
      </c>
      <c r="H115" s="12">
        <f>ROUND($D115*J42,0)</f>
        <v>1331</v>
      </c>
      <c r="N115" s="20"/>
      <c r="O115" s="20"/>
      <c r="P115"/>
      <c r="Q115"/>
    </row>
    <row r="116" spans="1:17" ht="20.100000000000001" customHeight="1" x14ac:dyDescent="0.2">
      <c r="A116" s="12">
        <f t="shared" si="8"/>
        <v>342</v>
      </c>
      <c r="B116" s="12">
        <v>42</v>
      </c>
      <c r="C116" s="12">
        <v>8</v>
      </c>
      <c r="D116" s="12">
        <v>1.25</v>
      </c>
      <c r="E116" s="12">
        <f>C116*G43</f>
        <v>336000</v>
      </c>
      <c r="F116" s="12">
        <f>ROUND($D116*H43,0)</f>
        <v>4500</v>
      </c>
      <c r="G116" s="12">
        <f>ROUND($D116*I43,0)</f>
        <v>1350</v>
      </c>
      <c r="H116" s="12">
        <f>ROUND($D116*J43,0)</f>
        <v>1350</v>
      </c>
      <c r="N116" s="20"/>
      <c r="O116" s="20"/>
      <c r="P116"/>
      <c r="Q116"/>
    </row>
    <row r="117" spans="1:17" ht="20.100000000000001" customHeight="1" x14ac:dyDescent="0.2">
      <c r="A117" s="12">
        <f t="shared" si="8"/>
        <v>343</v>
      </c>
      <c r="B117" s="12">
        <v>43</v>
      </c>
      <c r="C117" s="12">
        <v>8</v>
      </c>
      <c r="D117" s="12">
        <v>1.25</v>
      </c>
      <c r="E117" s="12">
        <f>C117*G44</f>
        <v>344400</v>
      </c>
      <c r="F117" s="12">
        <f>ROUND($D117*H44,0)</f>
        <v>4563</v>
      </c>
      <c r="G117" s="12">
        <f>ROUND($D117*I44,0)</f>
        <v>1369</v>
      </c>
      <c r="H117" s="12">
        <f>ROUND($D117*J44,0)</f>
        <v>1369</v>
      </c>
      <c r="N117" s="20"/>
      <c r="O117" s="20"/>
      <c r="P117"/>
      <c r="Q117"/>
    </row>
    <row r="118" spans="1:17" ht="20.100000000000001" customHeight="1" x14ac:dyDescent="0.2">
      <c r="A118" s="12">
        <f t="shared" si="8"/>
        <v>344</v>
      </c>
      <c r="B118" s="12">
        <v>44</v>
      </c>
      <c r="C118" s="12">
        <v>8</v>
      </c>
      <c r="D118" s="12">
        <v>1.25</v>
      </c>
      <c r="E118" s="12">
        <f>C118*G45</f>
        <v>352800</v>
      </c>
      <c r="F118" s="12">
        <f>ROUND($D118*H45,0)</f>
        <v>4625</v>
      </c>
      <c r="G118" s="12">
        <f>ROUND($D118*I45,0)</f>
        <v>1388</v>
      </c>
      <c r="H118" s="12">
        <f>ROUND($D118*J45,0)</f>
        <v>1388</v>
      </c>
      <c r="N118" s="20"/>
      <c r="O118" s="20"/>
      <c r="P118"/>
      <c r="Q118"/>
    </row>
    <row r="119" spans="1:17" ht="20.100000000000001" customHeight="1" x14ac:dyDescent="0.2">
      <c r="A119" s="12">
        <f t="shared" si="8"/>
        <v>345</v>
      </c>
      <c r="B119" s="12">
        <v>45</v>
      </c>
      <c r="C119" s="12">
        <v>8</v>
      </c>
      <c r="D119" s="12">
        <v>1.25</v>
      </c>
      <c r="E119" s="12">
        <f>C119*G46</f>
        <v>361200</v>
      </c>
      <c r="F119" s="12">
        <f>ROUND($D119*H46,0)</f>
        <v>4688</v>
      </c>
      <c r="G119" s="12">
        <f>ROUND($D119*I46,0)</f>
        <v>1406</v>
      </c>
      <c r="H119" s="12">
        <f>ROUND($D119*J46,0)</f>
        <v>1406</v>
      </c>
      <c r="N119" s="20"/>
      <c r="O119" s="20"/>
      <c r="P119"/>
      <c r="Q119"/>
    </row>
    <row r="120" spans="1:17" ht="20.100000000000001" customHeight="1" x14ac:dyDescent="0.2">
      <c r="A120" s="12">
        <f t="shared" si="8"/>
        <v>346</v>
      </c>
      <c r="B120" s="12">
        <v>46</v>
      </c>
      <c r="C120" s="12">
        <v>8</v>
      </c>
      <c r="D120" s="12">
        <v>1.25</v>
      </c>
      <c r="E120" s="12">
        <f>C120*G47</f>
        <v>369600</v>
      </c>
      <c r="F120" s="12">
        <f>ROUND($D120*H47,0)</f>
        <v>4750</v>
      </c>
      <c r="G120" s="12">
        <f>ROUND($D120*I47,0)</f>
        <v>1425</v>
      </c>
      <c r="H120" s="12">
        <f>ROUND($D120*J47,0)</f>
        <v>1425</v>
      </c>
      <c r="N120" s="20"/>
      <c r="O120" s="20"/>
      <c r="P120"/>
      <c r="Q120"/>
    </row>
    <row r="121" spans="1:17" ht="20.100000000000001" customHeight="1" x14ac:dyDescent="0.2">
      <c r="A121" s="12">
        <f t="shared" si="8"/>
        <v>347</v>
      </c>
      <c r="B121" s="12">
        <v>47</v>
      </c>
      <c r="C121" s="12">
        <v>8</v>
      </c>
      <c r="D121" s="12">
        <v>1.25</v>
      </c>
      <c r="E121" s="12">
        <f>C121*G48</f>
        <v>378000</v>
      </c>
      <c r="F121" s="12">
        <f>ROUND($D121*H48,0)</f>
        <v>4813</v>
      </c>
      <c r="G121" s="12">
        <f>ROUND($D121*I48,0)</f>
        <v>1444</v>
      </c>
      <c r="H121" s="12">
        <f>ROUND($D121*J48,0)</f>
        <v>1444</v>
      </c>
      <c r="N121" s="20"/>
      <c r="O121" s="20"/>
      <c r="P121"/>
      <c r="Q121"/>
    </row>
    <row r="122" spans="1:17" ht="20.100000000000001" customHeight="1" x14ac:dyDescent="0.2">
      <c r="A122" s="12">
        <f t="shared" si="8"/>
        <v>348</v>
      </c>
      <c r="B122" s="12">
        <v>48</v>
      </c>
      <c r="C122" s="12">
        <v>8</v>
      </c>
      <c r="D122" s="12">
        <v>1.25</v>
      </c>
      <c r="E122" s="12">
        <f>C122*G49</f>
        <v>386400</v>
      </c>
      <c r="F122" s="12">
        <f>ROUND($D122*H49,0)</f>
        <v>4875</v>
      </c>
      <c r="G122" s="12">
        <f>ROUND($D122*I49,0)</f>
        <v>1463</v>
      </c>
      <c r="H122" s="12">
        <f>ROUND($D122*J49,0)</f>
        <v>1463</v>
      </c>
      <c r="N122" s="20"/>
      <c r="O122" s="20"/>
      <c r="P122"/>
      <c r="Q122"/>
    </row>
    <row r="123" spans="1:17" ht="20.100000000000001" customHeight="1" x14ac:dyDescent="0.2">
      <c r="A123" s="12">
        <f t="shared" si="8"/>
        <v>349</v>
      </c>
      <c r="B123" s="12">
        <v>49</v>
      </c>
      <c r="C123" s="12">
        <v>8</v>
      </c>
      <c r="D123" s="12">
        <v>1.25</v>
      </c>
      <c r="E123" s="12">
        <f>C123*G50</f>
        <v>394800</v>
      </c>
      <c r="F123" s="12">
        <f>ROUND($D123*H50,0)</f>
        <v>4938</v>
      </c>
      <c r="G123" s="12">
        <f>ROUND($D123*I50,0)</f>
        <v>1481</v>
      </c>
      <c r="H123" s="12">
        <f>ROUND($D123*J50,0)</f>
        <v>1481</v>
      </c>
      <c r="N123" s="20"/>
      <c r="O123" s="20"/>
      <c r="P123"/>
      <c r="Q123"/>
    </row>
    <row r="124" spans="1:17" ht="20.100000000000001" customHeight="1" x14ac:dyDescent="0.2">
      <c r="A124" s="12">
        <f t="shared" si="8"/>
        <v>350</v>
      </c>
      <c r="B124" s="12">
        <v>50</v>
      </c>
      <c r="C124" s="12">
        <v>8</v>
      </c>
      <c r="D124" s="12">
        <v>1.25</v>
      </c>
      <c r="E124" s="12">
        <f>C124*G51</f>
        <v>403200</v>
      </c>
      <c r="F124" s="12">
        <f>ROUND($D124*H51,0)</f>
        <v>5438</v>
      </c>
      <c r="G124" s="12">
        <f>ROUND($D124*I51,0)</f>
        <v>1631</v>
      </c>
      <c r="H124" s="12">
        <f>ROUND($D124*J51,0)</f>
        <v>1631</v>
      </c>
      <c r="N124" s="20"/>
      <c r="O124" s="20"/>
      <c r="P124"/>
      <c r="Q124"/>
    </row>
    <row r="125" spans="1:17" ht="20.100000000000001" customHeight="1" x14ac:dyDescent="0.2">
      <c r="A125" s="12">
        <f t="shared" si="8"/>
        <v>351</v>
      </c>
      <c r="B125" s="12">
        <v>51</v>
      </c>
      <c r="C125" s="12">
        <v>8</v>
      </c>
      <c r="D125" s="12">
        <v>1.25</v>
      </c>
      <c r="E125" s="12">
        <f>C125*G52</f>
        <v>445200</v>
      </c>
      <c r="F125" s="12">
        <f>ROUND($D125*H52,0)</f>
        <v>5500</v>
      </c>
      <c r="G125" s="12">
        <f>ROUND($D125*I52,0)</f>
        <v>1650</v>
      </c>
      <c r="H125" s="12">
        <f>ROUND($D125*J52,0)</f>
        <v>1650</v>
      </c>
      <c r="N125" s="20"/>
      <c r="O125" s="20"/>
      <c r="P125"/>
      <c r="Q125"/>
    </row>
    <row r="126" spans="1:17" ht="20.100000000000001" customHeight="1" x14ac:dyDescent="0.2">
      <c r="A126" s="12">
        <f t="shared" si="8"/>
        <v>352</v>
      </c>
      <c r="B126" s="12">
        <v>52</v>
      </c>
      <c r="C126" s="12">
        <v>8</v>
      </c>
      <c r="D126" s="12">
        <v>1.25</v>
      </c>
      <c r="E126" s="12">
        <f>C126*G53</f>
        <v>453600</v>
      </c>
      <c r="F126" s="12">
        <f>ROUND($D126*H53,0)</f>
        <v>5563</v>
      </c>
      <c r="G126" s="12">
        <f>ROUND($D126*I53,0)</f>
        <v>1669</v>
      </c>
      <c r="H126" s="12">
        <f>ROUND($D126*J53,0)</f>
        <v>1669</v>
      </c>
      <c r="N126" s="20"/>
      <c r="O126" s="20"/>
      <c r="P126"/>
      <c r="Q126"/>
    </row>
    <row r="127" spans="1:17" ht="20.100000000000001" customHeight="1" x14ac:dyDescent="0.2">
      <c r="A127" s="12">
        <f t="shared" si="8"/>
        <v>353</v>
      </c>
      <c r="B127" s="12">
        <v>53</v>
      </c>
      <c r="C127" s="12">
        <v>8</v>
      </c>
      <c r="D127" s="12">
        <v>1.25</v>
      </c>
      <c r="E127" s="12">
        <f>C127*G54</f>
        <v>462000</v>
      </c>
      <c r="F127" s="12">
        <f>ROUND($D127*H54,0)</f>
        <v>5625</v>
      </c>
      <c r="G127" s="12">
        <f>ROUND($D127*I54,0)</f>
        <v>1688</v>
      </c>
      <c r="H127" s="12">
        <f>ROUND($D127*J54,0)</f>
        <v>1688</v>
      </c>
      <c r="N127" s="20"/>
      <c r="O127" s="20"/>
      <c r="P127"/>
      <c r="Q127"/>
    </row>
    <row r="128" spans="1:17" ht="20.100000000000001" customHeight="1" x14ac:dyDescent="0.2">
      <c r="A128" s="12">
        <f t="shared" si="8"/>
        <v>354</v>
      </c>
      <c r="B128" s="12">
        <v>54</v>
      </c>
      <c r="C128" s="12">
        <v>8</v>
      </c>
      <c r="D128" s="12">
        <v>1.25</v>
      </c>
      <c r="E128" s="12">
        <f>C128*G55</f>
        <v>470400</v>
      </c>
      <c r="F128" s="12">
        <f>ROUND($D128*H55,0)</f>
        <v>5688</v>
      </c>
      <c r="G128" s="12">
        <f>ROUND($D128*I55,0)</f>
        <v>1706</v>
      </c>
      <c r="H128" s="12">
        <f>ROUND($D128*J55,0)</f>
        <v>1706</v>
      </c>
      <c r="N128" s="20"/>
      <c r="O128" s="20"/>
      <c r="P128"/>
      <c r="Q128"/>
    </row>
    <row r="129" spans="1:17" ht="20.100000000000001" customHeight="1" x14ac:dyDescent="0.2">
      <c r="A129" s="12">
        <f t="shared" si="8"/>
        <v>355</v>
      </c>
      <c r="B129" s="12">
        <v>55</v>
      </c>
      <c r="C129" s="12">
        <v>8</v>
      </c>
      <c r="D129" s="12">
        <v>1.25</v>
      </c>
      <c r="E129" s="12">
        <f>C129*G56</f>
        <v>478800</v>
      </c>
      <c r="F129" s="12">
        <f>ROUND($D129*H56,0)</f>
        <v>5750</v>
      </c>
      <c r="G129" s="12">
        <f>ROUND($D129*I56,0)</f>
        <v>1725</v>
      </c>
      <c r="H129" s="12">
        <f>ROUND($D129*J56,0)</f>
        <v>1725</v>
      </c>
      <c r="N129" s="20"/>
      <c r="O129" s="20"/>
      <c r="P129"/>
      <c r="Q129"/>
    </row>
    <row r="130" spans="1:17" ht="20.100000000000001" customHeight="1" x14ac:dyDescent="0.2">
      <c r="A130" s="12">
        <f t="shared" si="8"/>
        <v>356</v>
      </c>
      <c r="B130" s="12">
        <v>56</v>
      </c>
      <c r="C130" s="12">
        <v>8</v>
      </c>
      <c r="D130" s="12">
        <v>1.25</v>
      </c>
      <c r="E130" s="12">
        <f>C130*G57</f>
        <v>487200</v>
      </c>
      <c r="F130" s="12">
        <f>ROUND($D130*H57,0)</f>
        <v>5813</v>
      </c>
      <c r="G130" s="12">
        <f>ROUND($D130*I57,0)</f>
        <v>1744</v>
      </c>
      <c r="H130" s="12">
        <f>ROUND($D130*J57,0)</f>
        <v>1744</v>
      </c>
      <c r="N130" s="20"/>
      <c r="O130" s="20"/>
      <c r="P130"/>
      <c r="Q130"/>
    </row>
    <row r="131" spans="1:17" ht="20.100000000000001" customHeight="1" x14ac:dyDescent="0.2">
      <c r="A131" s="12">
        <f t="shared" si="8"/>
        <v>357</v>
      </c>
      <c r="B131" s="12">
        <v>57</v>
      </c>
      <c r="C131" s="12">
        <v>8</v>
      </c>
      <c r="D131" s="12">
        <v>1.25</v>
      </c>
      <c r="E131" s="12">
        <f>C131*G58</f>
        <v>495600</v>
      </c>
      <c r="F131" s="12">
        <f>ROUND($D131*H58,0)</f>
        <v>5875</v>
      </c>
      <c r="G131" s="12">
        <f>ROUND($D131*I58,0)</f>
        <v>1763</v>
      </c>
      <c r="H131" s="12">
        <f>ROUND($D131*J58,0)</f>
        <v>1763</v>
      </c>
      <c r="N131" s="20"/>
      <c r="O131" s="20"/>
      <c r="P131"/>
      <c r="Q131"/>
    </row>
    <row r="132" spans="1:17" ht="20.100000000000001" customHeight="1" x14ac:dyDescent="0.2">
      <c r="A132" s="12">
        <f t="shared" si="8"/>
        <v>358</v>
      </c>
      <c r="B132" s="12">
        <v>58</v>
      </c>
      <c r="C132" s="12">
        <v>8</v>
      </c>
      <c r="D132" s="12">
        <v>1.25</v>
      </c>
      <c r="E132" s="12">
        <f>C132*G59</f>
        <v>504000</v>
      </c>
      <c r="F132" s="12">
        <f>ROUND($D132*H59,0)</f>
        <v>5938</v>
      </c>
      <c r="G132" s="12">
        <f>ROUND($D132*I59,0)</f>
        <v>1781</v>
      </c>
      <c r="H132" s="12">
        <f>ROUND($D132*J59,0)</f>
        <v>1781</v>
      </c>
      <c r="N132" s="20"/>
      <c r="O132" s="20"/>
      <c r="P132"/>
      <c r="Q132"/>
    </row>
    <row r="133" spans="1:17" ht="20.100000000000001" customHeight="1" x14ac:dyDescent="0.2">
      <c r="A133" s="12">
        <f t="shared" si="8"/>
        <v>359</v>
      </c>
      <c r="B133" s="12">
        <v>59</v>
      </c>
      <c r="C133" s="12">
        <v>8</v>
      </c>
      <c r="D133" s="12">
        <v>1.25</v>
      </c>
      <c r="E133" s="12">
        <f>C133*G60</f>
        <v>512400</v>
      </c>
      <c r="F133" s="12">
        <f>ROUND($D133*H60,0)</f>
        <v>6000</v>
      </c>
      <c r="G133" s="12">
        <f>ROUND($D133*I60,0)</f>
        <v>1800</v>
      </c>
      <c r="H133" s="12">
        <f>ROUND($D133*J60,0)</f>
        <v>1800</v>
      </c>
      <c r="N133" s="20"/>
      <c r="O133" s="20"/>
      <c r="P133"/>
      <c r="Q133"/>
    </row>
    <row r="134" spans="1:17" ht="20.100000000000001" customHeight="1" x14ac:dyDescent="0.2">
      <c r="A134" s="12">
        <f t="shared" si="8"/>
        <v>360</v>
      </c>
      <c r="B134" s="12">
        <v>60</v>
      </c>
      <c r="C134" s="12">
        <v>8</v>
      </c>
      <c r="D134" s="12">
        <v>1.25</v>
      </c>
      <c r="E134" s="12">
        <f>C134*G61</f>
        <v>520800</v>
      </c>
      <c r="F134" s="12">
        <f>ROUND($D134*H61,0)</f>
        <v>6625</v>
      </c>
      <c r="G134" s="12">
        <f>ROUND($D134*I61,0)</f>
        <v>1988</v>
      </c>
      <c r="H134" s="12">
        <f>ROUND($D134*J61,0)</f>
        <v>1988</v>
      </c>
      <c r="N134" s="20"/>
      <c r="O134" s="20"/>
      <c r="P134"/>
      <c r="Q134"/>
    </row>
    <row r="135" spans="1:17" ht="20.100000000000001" customHeight="1" x14ac:dyDescent="0.2">
      <c r="A135" s="12">
        <f t="shared" si="8"/>
        <v>361</v>
      </c>
      <c r="B135" s="12">
        <v>61</v>
      </c>
      <c r="C135" s="12">
        <v>8</v>
      </c>
      <c r="D135" s="12">
        <v>1.25</v>
      </c>
      <c r="E135" s="12">
        <f>C135*G62</f>
        <v>529200</v>
      </c>
      <c r="F135" s="12">
        <f>ROUND($D135*H62,0)</f>
        <v>6688</v>
      </c>
      <c r="G135" s="12">
        <f>ROUND($D135*I62,0)</f>
        <v>2006</v>
      </c>
      <c r="H135" s="12">
        <f>ROUND($D135*J62,0)</f>
        <v>2006</v>
      </c>
      <c r="N135" s="20"/>
      <c r="O135" s="20"/>
      <c r="P135"/>
      <c r="Q135"/>
    </row>
    <row r="136" spans="1:17" ht="20.100000000000001" customHeight="1" x14ac:dyDescent="0.2">
      <c r="A136" s="12">
        <f t="shared" si="8"/>
        <v>362</v>
      </c>
      <c r="B136" s="12">
        <v>62</v>
      </c>
      <c r="C136" s="12">
        <v>8</v>
      </c>
      <c r="D136" s="12">
        <v>1.25</v>
      </c>
      <c r="E136" s="12">
        <f>C136*G63</f>
        <v>537600</v>
      </c>
      <c r="F136" s="12">
        <f>ROUND($D136*H63,0)</f>
        <v>6750</v>
      </c>
      <c r="G136" s="12">
        <f>ROUND($D136*I63,0)</f>
        <v>2025</v>
      </c>
      <c r="H136" s="12">
        <f>ROUND($D136*J63,0)</f>
        <v>2025</v>
      </c>
      <c r="N136" s="20"/>
      <c r="O136" s="20"/>
      <c r="P136"/>
      <c r="Q136"/>
    </row>
    <row r="137" spans="1:17" ht="20.100000000000001" customHeight="1" x14ac:dyDescent="0.2">
      <c r="A137" s="12">
        <f t="shared" si="8"/>
        <v>363</v>
      </c>
      <c r="B137" s="12">
        <v>63</v>
      </c>
      <c r="C137" s="12">
        <v>8</v>
      </c>
      <c r="D137" s="12">
        <v>1.25</v>
      </c>
      <c r="E137" s="12">
        <f>C137*G64</f>
        <v>546000</v>
      </c>
      <c r="F137" s="12">
        <f>ROUND($D137*H64,0)</f>
        <v>6813</v>
      </c>
      <c r="G137" s="12">
        <f>ROUND($D137*I64,0)</f>
        <v>2044</v>
      </c>
      <c r="H137" s="12">
        <f>ROUND($D137*J64,0)</f>
        <v>2044</v>
      </c>
      <c r="N137" s="20"/>
      <c r="O137" s="20"/>
      <c r="P137"/>
      <c r="Q137"/>
    </row>
    <row r="138" spans="1:17" ht="20.100000000000001" customHeight="1" x14ac:dyDescent="0.2">
      <c r="A138" s="12">
        <f t="shared" si="8"/>
        <v>364</v>
      </c>
      <c r="B138" s="12">
        <v>64</v>
      </c>
      <c r="C138" s="12">
        <v>8</v>
      </c>
      <c r="D138" s="12">
        <v>1.25</v>
      </c>
      <c r="E138" s="12">
        <f>C138*G65</f>
        <v>554400</v>
      </c>
      <c r="F138" s="12">
        <f>ROUND($D138*H65,0)</f>
        <v>6875</v>
      </c>
      <c r="G138" s="12">
        <f>ROUND($D138*I65,0)</f>
        <v>2063</v>
      </c>
      <c r="H138" s="12">
        <f>ROUND($D138*J65,0)</f>
        <v>2063</v>
      </c>
      <c r="N138" s="20"/>
      <c r="O138" s="20"/>
      <c r="P138"/>
      <c r="Q138"/>
    </row>
    <row r="139" spans="1:17" ht="20.100000000000001" customHeight="1" x14ac:dyDescent="0.2">
      <c r="A139" s="12">
        <f t="shared" si="8"/>
        <v>365</v>
      </c>
      <c r="B139" s="12">
        <v>65</v>
      </c>
      <c r="C139" s="12">
        <v>8</v>
      </c>
      <c r="D139" s="12">
        <v>1.25</v>
      </c>
      <c r="E139" s="12">
        <f>C139*G66</f>
        <v>562800</v>
      </c>
      <c r="F139" s="12">
        <f>ROUND($D139*H66,0)</f>
        <v>6938</v>
      </c>
      <c r="G139" s="12">
        <f>ROUND($D139*I66,0)</f>
        <v>2081</v>
      </c>
      <c r="H139" s="12">
        <f>ROUND($D139*J66,0)</f>
        <v>2081</v>
      </c>
      <c r="N139" s="20"/>
      <c r="O139" s="20"/>
      <c r="P139"/>
      <c r="Q139"/>
    </row>
    <row r="140" spans="1:17" ht="20.100000000000001" customHeight="1" x14ac:dyDescent="0.2">
      <c r="A140" s="12">
        <f t="shared" ref="A140:A144" si="9">B140+300</f>
        <v>366</v>
      </c>
      <c r="B140" s="12">
        <v>66</v>
      </c>
      <c r="C140" s="12">
        <v>8</v>
      </c>
      <c r="D140" s="12">
        <v>1.25</v>
      </c>
      <c r="E140" s="12">
        <f>C140*G67</f>
        <v>571200</v>
      </c>
      <c r="F140" s="12">
        <f>ROUND($D140*H67,0)</f>
        <v>7000</v>
      </c>
      <c r="G140" s="12">
        <f>ROUND($D140*I67,0)</f>
        <v>2100</v>
      </c>
      <c r="H140" s="12">
        <f>ROUND($D140*J67,0)</f>
        <v>2100</v>
      </c>
      <c r="N140" s="20"/>
      <c r="O140" s="20"/>
      <c r="P140"/>
      <c r="Q140"/>
    </row>
    <row r="141" spans="1:17" ht="20.100000000000001" customHeight="1" x14ac:dyDescent="0.2">
      <c r="A141" s="12">
        <f t="shared" si="9"/>
        <v>367</v>
      </c>
      <c r="B141" s="12">
        <v>67</v>
      </c>
      <c r="C141" s="12">
        <v>8</v>
      </c>
      <c r="D141" s="12">
        <v>1.25</v>
      </c>
      <c r="E141" s="12">
        <f>C141*G68</f>
        <v>579600</v>
      </c>
      <c r="F141" s="12">
        <f>ROUND($D141*H68,0)</f>
        <v>7063</v>
      </c>
      <c r="G141" s="12">
        <f>ROUND($D141*I68,0)</f>
        <v>2119</v>
      </c>
      <c r="H141" s="12">
        <f>ROUND($D141*J68,0)</f>
        <v>2119</v>
      </c>
      <c r="N141" s="20"/>
      <c r="O141" s="20"/>
      <c r="P141"/>
      <c r="Q141"/>
    </row>
    <row r="142" spans="1:17" ht="20.100000000000001" customHeight="1" x14ac:dyDescent="0.2">
      <c r="A142" s="12">
        <f t="shared" si="9"/>
        <v>368</v>
      </c>
      <c r="B142" s="12">
        <v>68</v>
      </c>
      <c r="C142" s="12">
        <v>8</v>
      </c>
      <c r="D142" s="12">
        <v>1.25</v>
      </c>
      <c r="E142" s="12">
        <f>C142*G69</f>
        <v>588000</v>
      </c>
      <c r="F142" s="12">
        <f>ROUND($D142*H69,0)</f>
        <v>7125</v>
      </c>
      <c r="G142" s="12">
        <f>ROUND($D142*I69,0)</f>
        <v>2138</v>
      </c>
      <c r="H142" s="12">
        <f>ROUND($D142*J69,0)</f>
        <v>2138</v>
      </c>
      <c r="N142" s="20"/>
      <c r="O142" s="20"/>
      <c r="P142"/>
      <c r="Q142"/>
    </row>
    <row r="143" spans="1:17" ht="20.100000000000001" customHeight="1" x14ac:dyDescent="0.2">
      <c r="A143" s="12">
        <f t="shared" si="9"/>
        <v>369</v>
      </c>
      <c r="B143" s="12">
        <v>69</v>
      </c>
      <c r="C143" s="12">
        <v>8</v>
      </c>
      <c r="D143" s="12">
        <v>1.25</v>
      </c>
      <c r="E143" s="12">
        <f>C143*G70</f>
        <v>596400</v>
      </c>
      <c r="F143" s="12">
        <f>ROUND($D143*H70,0)</f>
        <v>7188</v>
      </c>
      <c r="G143" s="12">
        <f>ROUND($D143*I70,0)</f>
        <v>2156</v>
      </c>
      <c r="H143" s="12">
        <f>ROUND($D143*J70,0)</f>
        <v>2156</v>
      </c>
      <c r="N143" s="20"/>
      <c r="O143" s="20"/>
      <c r="P143"/>
      <c r="Q143"/>
    </row>
    <row r="144" spans="1:17" ht="20.100000000000001" customHeight="1" x14ac:dyDescent="0.2">
      <c r="A144" s="12">
        <f t="shared" si="9"/>
        <v>370</v>
      </c>
      <c r="B144" s="12">
        <v>70</v>
      </c>
      <c r="C144" s="12">
        <v>8</v>
      </c>
      <c r="D144" s="12">
        <v>1.25</v>
      </c>
      <c r="E144" s="12">
        <f>C144*G71</f>
        <v>604800</v>
      </c>
      <c r="F144" s="12">
        <f>ROUND($D144*H71,0)</f>
        <v>7250</v>
      </c>
      <c r="G144" s="12">
        <f>ROUND($D144*I71,0)</f>
        <v>2175</v>
      </c>
      <c r="H144" s="12">
        <f>ROUND($D144*J71,0)</f>
        <v>2175</v>
      </c>
      <c r="N144" s="20"/>
      <c r="O144" s="20"/>
      <c r="P144"/>
      <c r="Q144"/>
    </row>
    <row r="145" spans="15:17" ht="20.100000000000001" customHeight="1" x14ac:dyDescent="0.2">
      <c r="O145" s="20"/>
      <c r="Q145"/>
    </row>
    <row r="146" spans="15:17" ht="20.100000000000001" customHeight="1" x14ac:dyDescent="0.2">
      <c r="O146" s="20"/>
      <c r="Q146"/>
    </row>
    <row r="147" spans="15:17" ht="20.100000000000001" customHeight="1" x14ac:dyDescent="0.2">
      <c r="O147" s="20"/>
      <c r="Q147"/>
    </row>
    <row r="148" spans="15:17" ht="20.100000000000001" customHeight="1" x14ac:dyDescent="0.2"/>
    <row r="149" spans="15:17" ht="20.100000000000001" customHeight="1" x14ac:dyDescent="0.2"/>
    <row r="150" spans="15:17" ht="20.100000000000001" customHeight="1" x14ac:dyDescent="0.2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首页</vt:lpstr>
      <vt:lpstr>属性</vt:lpstr>
      <vt:lpstr>装备属性</vt:lpstr>
      <vt:lpstr>怪物属性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xiaojin chen</cp:lastModifiedBy>
  <dcterms:created xsi:type="dcterms:W3CDTF">2015-06-05T18:19:34Z</dcterms:created>
  <dcterms:modified xsi:type="dcterms:W3CDTF">2025-10-11T07:22:24Z</dcterms:modified>
</cp:coreProperties>
</file>