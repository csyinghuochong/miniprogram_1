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GitDreamJourney\GameDesign\数值文档\"/>
    </mc:Choice>
  </mc:AlternateContent>
  <xr:revisionPtr revIDLastSave="0" documentId="13_ncr:1_{82D45E89-8822-4996-9DC3-8E65EC691E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首页" sheetId="3" r:id="rId1"/>
    <sheet name="任务金币" sheetId="2" r:id="rId2"/>
    <sheet name="怪物金币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3" l="1"/>
  <c r="J6" i="3"/>
  <c r="J5" i="3"/>
  <c r="J2" i="3"/>
  <c r="J21" i="3"/>
  <c r="J26" i="3"/>
  <c r="J27" i="3"/>
  <c r="J32" i="3"/>
  <c r="J33" i="3"/>
  <c r="J50" i="3"/>
  <c r="J56" i="3"/>
  <c r="J57" i="3"/>
  <c r="J6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2" i="2"/>
  <c r="I16" i="3"/>
  <c r="J16" i="3" s="1"/>
  <c r="I14" i="3"/>
  <c r="J14" i="3" s="1"/>
  <c r="I3" i="3"/>
  <c r="J3" i="3" s="1"/>
  <c r="I4" i="3"/>
  <c r="J4" i="3" s="1"/>
  <c r="I5" i="3"/>
  <c r="I6" i="3"/>
  <c r="I7" i="3"/>
  <c r="J7" i="3" s="1"/>
  <c r="I8" i="3"/>
  <c r="I9" i="3"/>
  <c r="J9" i="3" s="1"/>
  <c r="I10" i="3"/>
  <c r="J10" i="3" s="1"/>
  <c r="I11" i="3"/>
  <c r="J11" i="3" s="1"/>
  <c r="I12" i="3"/>
  <c r="J12" i="3" s="1"/>
  <c r="I13" i="3"/>
  <c r="J13" i="3" s="1"/>
  <c r="I15" i="3"/>
  <c r="J15" i="3" s="1"/>
  <c r="I17" i="3"/>
  <c r="J17" i="3" s="1"/>
  <c r="I18" i="3"/>
  <c r="J18" i="3" s="1"/>
  <c r="I19" i="3"/>
  <c r="J19" i="3" s="1"/>
  <c r="I20" i="3"/>
  <c r="J20" i="3" s="1"/>
  <c r="I21" i="3"/>
  <c r="I22" i="3"/>
  <c r="J22" i="3" s="1"/>
  <c r="I23" i="3"/>
  <c r="J23" i="3" s="1"/>
  <c r="I24" i="3"/>
  <c r="J24" i="3" s="1"/>
  <c r="I25" i="3"/>
  <c r="J25" i="3" s="1"/>
  <c r="I26" i="3"/>
  <c r="I27" i="3"/>
  <c r="I28" i="3"/>
  <c r="J28" i="3" s="1"/>
  <c r="I29" i="3"/>
  <c r="J29" i="3" s="1"/>
  <c r="I30" i="3"/>
  <c r="J30" i="3" s="1"/>
  <c r="I31" i="3"/>
  <c r="J31" i="3" s="1"/>
  <c r="I32" i="3"/>
  <c r="I33" i="3"/>
  <c r="I34" i="3"/>
  <c r="J34" i="3" s="1"/>
  <c r="I35" i="3"/>
  <c r="J35" i="3" s="1"/>
  <c r="I36" i="3"/>
  <c r="J36" i="3" s="1"/>
  <c r="I37" i="3"/>
  <c r="J37" i="3" s="1"/>
  <c r="I38" i="3"/>
  <c r="J38" i="3" s="1"/>
  <c r="I39" i="3"/>
  <c r="J39" i="3" s="1"/>
  <c r="I40" i="3"/>
  <c r="J40" i="3" s="1"/>
  <c r="I41" i="3"/>
  <c r="J41" i="3" s="1"/>
  <c r="I42" i="3"/>
  <c r="J42" i="3" s="1"/>
  <c r="I43" i="3"/>
  <c r="J43" i="3" s="1"/>
  <c r="I44" i="3"/>
  <c r="J44" i="3" s="1"/>
  <c r="I45" i="3"/>
  <c r="J45" i="3" s="1"/>
  <c r="I46" i="3"/>
  <c r="J46" i="3" s="1"/>
  <c r="I47" i="3"/>
  <c r="J47" i="3" s="1"/>
  <c r="I48" i="3"/>
  <c r="J48" i="3" s="1"/>
  <c r="I49" i="3"/>
  <c r="J49" i="3" s="1"/>
  <c r="I50" i="3"/>
  <c r="I51" i="3"/>
  <c r="J51" i="3" s="1"/>
  <c r="I52" i="3"/>
  <c r="J52" i="3" s="1"/>
  <c r="I53" i="3"/>
  <c r="J53" i="3" s="1"/>
  <c r="I54" i="3"/>
  <c r="J54" i="3" s="1"/>
  <c r="I55" i="3"/>
  <c r="J55" i="3" s="1"/>
  <c r="I56" i="3"/>
  <c r="I57" i="3"/>
  <c r="I58" i="3"/>
  <c r="J58" i="3" s="1"/>
  <c r="I59" i="3"/>
  <c r="J59" i="3" s="1"/>
  <c r="I60" i="3"/>
  <c r="J60" i="3" s="1"/>
  <c r="I61" i="3"/>
  <c r="J61" i="3" s="1"/>
  <c r="I62" i="3"/>
  <c r="I63" i="3"/>
  <c r="J63" i="3" s="1"/>
  <c r="I64" i="3"/>
  <c r="J64" i="3" s="1"/>
  <c r="I65" i="3"/>
  <c r="J65" i="3" s="1"/>
  <c r="I66" i="3"/>
  <c r="J66" i="3" s="1"/>
  <c r="I67" i="3"/>
  <c r="J67" i="3" s="1"/>
  <c r="I68" i="3"/>
  <c r="J68" i="3" s="1"/>
  <c r="I69" i="3"/>
  <c r="J69" i="3" s="1"/>
  <c r="I70" i="3"/>
  <c r="J70" i="3" s="1"/>
  <c r="I71" i="3"/>
  <c r="J71" i="3" s="1"/>
  <c r="I2" i="3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2" i="3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67" i="3"/>
  <c r="B68" i="3"/>
  <c r="B69" i="3"/>
  <c r="B70" i="3"/>
  <c r="B7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2" i="3"/>
  <c r="G3" i="3" l="1"/>
  <c r="H3" i="3" s="1"/>
  <c r="M2" i="3"/>
  <c r="N2" i="3" s="1"/>
  <c r="G2" i="3"/>
  <c r="H2" i="3" s="1"/>
  <c r="M3" i="3" l="1"/>
  <c r="N3" i="3" s="1"/>
  <c r="E3" i="3" s="1"/>
  <c r="C3" i="3" s="1"/>
  <c r="E2" i="3"/>
  <c r="C2" i="3" s="1"/>
  <c r="G4" i="3" l="1"/>
  <c r="H4" i="3" s="1"/>
  <c r="M4" i="3"/>
  <c r="N4" i="3" s="1"/>
  <c r="D2" i="3"/>
  <c r="D3" i="3"/>
  <c r="M5" i="3" l="1"/>
  <c r="N5" i="3" s="1"/>
  <c r="G5" i="3"/>
  <c r="H5" i="3" s="1"/>
  <c r="E4" i="3"/>
  <c r="C4" i="3" s="1"/>
  <c r="E5" i="3" l="1"/>
  <c r="C5" i="3" s="1"/>
  <c r="D5" i="3"/>
  <c r="D4" i="3"/>
  <c r="M6" i="3"/>
  <c r="N6" i="3" s="1"/>
  <c r="G6" i="3"/>
  <c r="H6" i="3" s="1"/>
  <c r="E6" i="3" l="1"/>
  <c r="C6" i="3" s="1"/>
  <c r="D6" i="3" s="1"/>
  <c r="M7" i="3"/>
  <c r="N7" i="3" s="1"/>
  <c r="G7" i="3"/>
  <c r="H7" i="3" s="1"/>
  <c r="E7" i="3" l="1"/>
  <c r="C7" i="3" s="1"/>
  <c r="D7" i="3" s="1"/>
  <c r="M8" i="3"/>
  <c r="N8" i="3" s="1"/>
  <c r="G8" i="3"/>
  <c r="H8" i="3" s="1"/>
  <c r="E8" i="3" l="1"/>
  <c r="C8" i="3" s="1"/>
  <c r="M9" i="3"/>
  <c r="N9" i="3" s="1"/>
  <c r="G9" i="3"/>
  <c r="H9" i="3" s="1"/>
  <c r="D8" i="3"/>
  <c r="E9" i="3" l="1"/>
  <c r="C9" i="3" s="1"/>
  <c r="M10" i="3"/>
  <c r="N10" i="3" s="1"/>
  <c r="G10" i="3"/>
  <c r="H10" i="3" s="1"/>
  <c r="E10" i="3" l="1"/>
  <c r="C10" i="3" s="1"/>
  <c r="D10" i="3" s="1"/>
  <c r="M11" i="3"/>
  <c r="N11" i="3" s="1"/>
  <c r="G11" i="3"/>
  <c r="H11" i="3" s="1"/>
  <c r="D9" i="3"/>
  <c r="E11" i="3" l="1"/>
  <c r="C11" i="3" s="1"/>
  <c r="D11" i="3" s="1"/>
  <c r="M12" i="3"/>
  <c r="N12" i="3" s="1"/>
  <c r="G12" i="3"/>
  <c r="H12" i="3" s="1"/>
  <c r="E12" i="3" l="1"/>
  <c r="C12" i="3" s="1"/>
  <c r="D12" i="3" s="1"/>
  <c r="G13" i="3"/>
  <c r="H13" i="3" s="1"/>
  <c r="M13" i="3"/>
  <c r="N13" i="3" s="1"/>
  <c r="G14" i="3" l="1"/>
  <c r="H14" i="3" s="1"/>
  <c r="M14" i="3"/>
  <c r="N14" i="3" s="1"/>
  <c r="E13" i="3"/>
  <c r="C13" i="3" s="1"/>
  <c r="D13" i="3" s="1"/>
  <c r="M15" i="3" l="1"/>
  <c r="N15" i="3" s="1"/>
  <c r="G15" i="3"/>
  <c r="H15" i="3" s="1"/>
  <c r="E14" i="3"/>
  <c r="C14" i="3" s="1"/>
  <c r="D14" i="3" s="1"/>
  <c r="E15" i="3" l="1"/>
  <c r="C15" i="3" s="1"/>
  <c r="G16" i="3"/>
  <c r="H16" i="3" s="1"/>
  <c r="M16" i="3"/>
  <c r="N16" i="3" s="1"/>
  <c r="D15" i="3"/>
  <c r="E16" i="3" l="1"/>
  <c r="C16" i="3" s="1"/>
  <c r="D16" i="3" s="1"/>
  <c r="M17" i="3"/>
  <c r="N17" i="3" s="1"/>
  <c r="G17" i="3"/>
  <c r="H17" i="3" s="1"/>
  <c r="E17" i="3" l="1"/>
  <c r="C17" i="3" s="1"/>
  <c r="D17" i="3" s="1"/>
  <c r="M18" i="3"/>
  <c r="N18" i="3" s="1"/>
  <c r="G18" i="3"/>
  <c r="H18" i="3" s="1"/>
  <c r="E18" i="3" l="1"/>
  <c r="C18" i="3" s="1"/>
  <c r="D18" i="3" s="1"/>
  <c r="M19" i="3"/>
  <c r="N19" i="3" s="1"/>
  <c r="G19" i="3"/>
  <c r="H19" i="3" s="1"/>
  <c r="E19" i="3" l="1"/>
  <c r="C19" i="3" s="1"/>
  <c r="D19" i="3" s="1"/>
  <c r="M20" i="3"/>
  <c r="N20" i="3" s="1"/>
  <c r="G20" i="3"/>
  <c r="H20" i="3" s="1"/>
  <c r="E20" i="3" l="1"/>
  <c r="C20" i="3" s="1"/>
  <c r="D20" i="3" s="1"/>
  <c r="M21" i="3"/>
  <c r="N21" i="3" s="1"/>
  <c r="G21" i="3"/>
  <c r="H21" i="3" s="1"/>
  <c r="E21" i="3" l="1"/>
  <c r="C21" i="3" s="1"/>
  <c r="D21" i="3" s="1"/>
  <c r="M22" i="3"/>
  <c r="N22" i="3" s="1"/>
  <c r="G22" i="3"/>
  <c r="H22" i="3" s="1"/>
  <c r="E22" i="3" l="1"/>
  <c r="C22" i="3" s="1"/>
  <c r="D22" i="3" s="1"/>
  <c r="M23" i="3"/>
  <c r="N23" i="3" s="1"/>
  <c r="G23" i="3"/>
  <c r="H23" i="3" s="1"/>
  <c r="E23" i="3" l="1"/>
  <c r="C23" i="3" s="1"/>
  <c r="D23" i="3" s="1"/>
  <c r="M24" i="3"/>
  <c r="N24" i="3" s="1"/>
  <c r="G24" i="3"/>
  <c r="H24" i="3" s="1"/>
  <c r="E24" i="3" l="1"/>
  <c r="C24" i="3" s="1"/>
  <c r="D24" i="3" s="1"/>
  <c r="G25" i="3"/>
  <c r="H25" i="3" s="1"/>
  <c r="M25" i="3"/>
  <c r="N25" i="3" s="1"/>
  <c r="G26" i="3" l="1"/>
  <c r="H26" i="3" s="1"/>
  <c r="M26" i="3"/>
  <c r="N26" i="3" s="1"/>
  <c r="E25" i="3"/>
  <c r="C25" i="3" s="1"/>
  <c r="D25" i="3" s="1"/>
  <c r="G27" i="3" l="1"/>
  <c r="H27" i="3" s="1"/>
  <c r="M27" i="3"/>
  <c r="N27" i="3" s="1"/>
  <c r="E26" i="3"/>
  <c r="C26" i="3" s="1"/>
  <c r="D26" i="3" s="1"/>
  <c r="G28" i="3" l="1"/>
  <c r="H28" i="3" s="1"/>
  <c r="M28" i="3"/>
  <c r="N28" i="3" s="1"/>
  <c r="E27" i="3"/>
  <c r="C27" i="3" s="1"/>
  <c r="D27" i="3" s="1"/>
  <c r="E28" i="3" l="1"/>
  <c r="C28" i="3" s="1"/>
  <c r="D28" i="3" s="1"/>
  <c r="M29" i="3"/>
  <c r="N29" i="3" s="1"/>
  <c r="G29" i="3"/>
  <c r="H29" i="3" s="1"/>
  <c r="E29" i="3" l="1"/>
  <c r="C29" i="3" s="1"/>
  <c r="D29" i="3"/>
  <c r="M30" i="3"/>
  <c r="N30" i="3" s="1"/>
  <c r="G30" i="3"/>
  <c r="H30" i="3" s="1"/>
  <c r="E30" i="3" l="1"/>
  <c r="C30" i="3" s="1"/>
  <c r="D30" i="3" s="1"/>
  <c r="M31" i="3"/>
  <c r="N31" i="3" s="1"/>
  <c r="G31" i="3"/>
  <c r="H31" i="3" s="1"/>
  <c r="E31" i="3" l="1"/>
  <c r="C31" i="3" s="1"/>
  <c r="D31" i="3" s="1"/>
  <c r="M32" i="3"/>
  <c r="N32" i="3" s="1"/>
  <c r="G32" i="3"/>
  <c r="H32" i="3" s="1"/>
  <c r="E32" i="3" l="1"/>
  <c r="C32" i="3" s="1"/>
  <c r="D32" i="3" s="1"/>
  <c r="M33" i="3"/>
  <c r="N33" i="3" s="1"/>
  <c r="G33" i="3"/>
  <c r="H33" i="3" s="1"/>
  <c r="E33" i="3" l="1"/>
  <c r="C33" i="3" s="1"/>
  <c r="D33" i="3" s="1"/>
  <c r="M34" i="3"/>
  <c r="N34" i="3" s="1"/>
  <c r="G34" i="3"/>
  <c r="H34" i="3" s="1"/>
  <c r="E34" i="3" l="1"/>
  <c r="C34" i="3" s="1"/>
  <c r="D34" i="3" s="1"/>
  <c r="G35" i="3"/>
  <c r="H35" i="3" s="1"/>
  <c r="M35" i="3"/>
  <c r="N35" i="3" s="1"/>
  <c r="E35" i="3" l="1"/>
  <c r="C35" i="3" s="1"/>
  <c r="D35" i="3" s="1"/>
  <c r="M36" i="3"/>
  <c r="N36" i="3" s="1"/>
  <c r="G36" i="3"/>
  <c r="H36" i="3" s="1"/>
  <c r="E36" i="3" l="1"/>
  <c r="C36" i="3" s="1"/>
  <c r="D36" i="3" s="1"/>
  <c r="G37" i="3"/>
  <c r="H37" i="3" s="1"/>
  <c r="M37" i="3"/>
  <c r="N37" i="3" s="1"/>
  <c r="G38" i="3" l="1"/>
  <c r="H38" i="3" s="1"/>
  <c r="M38" i="3"/>
  <c r="N38" i="3" s="1"/>
  <c r="E37" i="3"/>
  <c r="C37" i="3" s="1"/>
  <c r="D37" i="3" s="1"/>
  <c r="M39" i="3" l="1"/>
  <c r="N39" i="3" s="1"/>
  <c r="G39" i="3"/>
  <c r="H39" i="3" s="1"/>
  <c r="E38" i="3"/>
  <c r="C38" i="3" s="1"/>
  <c r="D38" i="3" s="1"/>
  <c r="E39" i="3" l="1"/>
  <c r="C39" i="3" s="1"/>
  <c r="G40" i="3"/>
  <c r="H40" i="3" s="1"/>
  <c r="M40" i="3"/>
  <c r="N40" i="3" s="1"/>
  <c r="D39" i="3"/>
  <c r="M41" i="3" l="1"/>
  <c r="N41" i="3" s="1"/>
  <c r="G41" i="3"/>
  <c r="H41" i="3" s="1"/>
  <c r="E40" i="3"/>
  <c r="C40" i="3" s="1"/>
  <c r="D40" i="3" s="1"/>
  <c r="E41" i="3" l="1"/>
  <c r="C41" i="3" s="1"/>
  <c r="D41" i="3"/>
  <c r="M42" i="3"/>
  <c r="N42" i="3" s="1"/>
  <c r="G42" i="3"/>
  <c r="H42" i="3" s="1"/>
  <c r="E42" i="3" l="1"/>
  <c r="C42" i="3" s="1"/>
  <c r="D42" i="3" s="1"/>
  <c r="M43" i="3"/>
  <c r="N43" i="3" s="1"/>
  <c r="G43" i="3"/>
  <c r="H43" i="3" s="1"/>
  <c r="E43" i="3" l="1"/>
  <c r="C43" i="3" s="1"/>
  <c r="D43" i="3" s="1"/>
  <c r="M44" i="3"/>
  <c r="N44" i="3" s="1"/>
  <c r="G44" i="3"/>
  <c r="H44" i="3" s="1"/>
  <c r="E44" i="3" l="1"/>
  <c r="C44" i="3" s="1"/>
  <c r="D44" i="3"/>
  <c r="M45" i="3"/>
  <c r="N45" i="3" s="1"/>
  <c r="G45" i="3"/>
  <c r="H45" i="3" s="1"/>
  <c r="E45" i="3" l="1"/>
  <c r="C45" i="3" s="1"/>
  <c r="D45" i="3" s="1"/>
  <c r="M46" i="3"/>
  <c r="N46" i="3" s="1"/>
  <c r="G46" i="3"/>
  <c r="H46" i="3" s="1"/>
  <c r="E46" i="3" l="1"/>
  <c r="C46" i="3" s="1"/>
  <c r="D46" i="3" s="1"/>
  <c r="G47" i="3"/>
  <c r="H47" i="3" s="1"/>
  <c r="M47" i="3"/>
  <c r="N47" i="3" s="1"/>
  <c r="E47" i="3" l="1"/>
  <c r="C47" i="3" s="1"/>
  <c r="D47" i="3" s="1"/>
  <c r="M48" i="3"/>
  <c r="N48" i="3" s="1"/>
  <c r="G48" i="3"/>
  <c r="H48" i="3" s="1"/>
  <c r="E48" i="3" l="1"/>
  <c r="C48" i="3" s="1"/>
  <c r="D48" i="3" s="1"/>
  <c r="G49" i="3"/>
  <c r="H49" i="3" s="1"/>
  <c r="M49" i="3"/>
  <c r="N49" i="3" s="1"/>
  <c r="G50" i="3" l="1"/>
  <c r="H50" i="3" s="1"/>
  <c r="M50" i="3"/>
  <c r="N50" i="3" s="1"/>
  <c r="E49" i="3"/>
  <c r="C49" i="3" s="1"/>
  <c r="D49" i="3" s="1"/>
  <c r="M51" i="3" l="1"/>
  <c r="N51" i="3" s="1"/>
  <c r="G51" i="3"/>
  <c r="H51" i="3" s="1"/>
  <c r="E50" i="3"/>
  <c r="C50" i="3" s="1"/>
  <c r="D50" i="3" s="1"/>
  <c r="G52" i="3" l="1"/>
  <c r="H52" i="3" s="1"/>
  <c r="M52" i="3"/>
  <c r="N52" i="3" s="1"/>
  <c r="E51" i="3"/>
  <c r="C51" i="3" s="1"/>
  <c r="D51" i="3" s="1"/>
  <c r="M53" i="3" l="1"/>
  <c r="N53" i="3" s="1"/>
  <c r="G53" i="3"/>
  <c r="H53" i="3" s="1"/>
  <c r="E52" i="3"/>
  <c r="C52" i="3" s="1"/>
  <c r="D52" i="3" s="1"/>
  <c r="E53" i="3" l="1"/>
  <c r="C53" i="3" s="1"/>
  <c r="D53" i="3"/>
  <c r="M54" i="3"/>
  <c r="N54" i="3" s="1"/>
  <c r="G54" i="3"/>
  <c r="H54" i="3" s="1"/>
  <c r="E54" i="3" l="1"/>
  <c r="C54" i="3" s="1"/>
  <c r="D54" i="3" s="1"/>
  <c r="M55" i="3"/>
  <c r="N55" i="3" s="1"/>
  <c r="G55" i="3"/>
  <c r="H55" i="3" s="1"/>
  <c r="M56" i="3" l="1"/>
  <c r="N56" i="3" s="1"/>
  <c r="G56" i="3"/>
  <c r="H56" i="3" s="1"/>
  <c r="E55" i="3"/>
  <c r="C55" i="3" s="1"/>
  <c r="D55" i="3" s="1"/>
  <c r="E56" i="3" l="1"/>
  <c r="C56" i="3" s="1"/>
  <c r="D56" i="3"/>
  <c r="M57" i="3"/>
  <c r="N57" i="3" s="1"/>
  <c r="G57" i="3"/>
  <c r="H57" i="3" s="1"/>
  <c r="E57" i="3" l="1"/>
  <c r="C57" i="3" s="1"/>
  <c r="D57" i="3" s="1"/>
  <c r="M58" i="3"/>
  <c r="N58" i="3" s="1"/>
  <c r="G58" i="3"/>
  <c r="H58" i="3" s="1"/>
  <c r="E58" i="3" l="1"/>
  <c r="C58" i="3" s="1"/>
  <c r="D58" i="3" s="1"/>
  <c r="G59" i="3"/>
  <c r="H59" i="3" s="1"/>
  <c r="M59" i="3"/>
  <c r="N59" i="3" s="1"/>
  <c r="E59" i="3" l="1"/>
  <c r="C59" i="3" s="1"/>
  <c r="D59" i="3" s="1"/>
  <c r="M60" i="3"/>
  <c r="N60" i="3" s="1"/>
  <c r="G60" i="3"/>
  <c r="H60" i="3" s="1"/>
  <c r="E60" i="3" l="1"/>
  <c r="C60" i="3" s="1"/>
  <c r="D60" i="3" s="1"/>
  <c r="G61" i="3"/>
  <c r="H61" i="3" s="1"/>
  <c r="M61" i="3"/>
  <c r="N61" i="3" s="1"/>
  <c r="G62" i="3" l="1"/>
  <c r="H62" i="3" s="1"/>
  <c r="M62" i="3"/>
  <c r="N62" i="3" s="1"/>
  <c r="E61" i="3"/>
  <c r="C61" i="3" s="1"/>
  <c r="D61" i="3" s="1"/>
  <c r="M63" i="3" l="1"/>
  <c r="N63" i="3" s="1"/>
  <c r="G63" i="3"/>
  <c r="H63" i="3" s="1"/>
  <c r="E62" i="3"/>
  <c r="C62" i="3" s="1"/>
  <c r="D62" i="3" s="1"/>
  <c r="E63" i="3" l="1"/>
  <c r="C63" i="3" s="1"/>
  <c r="D63" i="3"/>
  <c r="G64" i="3"/>
  <c r="H64" i="3" s="1"/>
  <c r="M64" i="3"/>
  <c r="N64" i="3" s="1"/>
  <c r="E64" i="3" l="1"/>
  <c r="C64" i="3" s="1"/>
  <c r="D64" i="3" s="1"/>
  <c r="M65" i="3"/>
  <c r="N65" i="3" s="1"/>
  <c r="G65" i="3"/>
  <c r="H65" i="3" s="1"/>
  <c r="E65" i="3" l="1"/>
  <c r="C65" i="3" s="1"/>
  <c r="D65" i="3" s="1"/>
  <c r="M67" i="3"/>
  <c r="N67" i="3" s="1"/>
  <c r="G67" i="3"/>
  <c r="H67" i="3" s="1"/>
  <c r="M66" i="3"/>
  <c r="N66" i="3" s="1"/>
  <c r="G66" i="3"/>
  <c r="H66" i="3" s="1"/>
  <c r="E67" i="3" l="1"/>
  <c r="C67" i="3" s="1"/>
  <c r="E66" i="3"/>
  <c r="C66" i="3" s="1"/>
  <c r="D66" i="3" s="1"/>
  <c r="D67" i="3"/>
  <c r="G68" i="3"/>
  <c r="H68" i="3" s="1"/>
  <c r="M68" i="3"/>
  <c r="N68" i="3" s="1"/>
  <c r="E68" i="3" l="1"/>
  <c r="C68" i="3" s="1"/>
  <c r="D68" i="3" s="1"/>
  <c r="M69" i="3"/>
  <c r="N69" i="3" s="1"/>
  <c r="G69" i="3"/>
  <c r="H69" i="3" s="1"/>
  <c r="E69" i="3" l="1"/>
  <c r="C69" i="3" s="1"/>
  <c r="D69" i="3" s="1"/>
  <c r="G70" i="3"/>
  <c r="H70" i="3" s="1"/>
  <c r="M70" i="3"/>
  <c r="N70" i="3" s="1"/>
  <c r="E70" i="3" l="1"/>
  <c r="C70" i="3" s="1"/>
  <c r="D70" i="3" s="1"/>
  <c r="G71" i="3"/>
  <c r="H71" i="3" s="1"/>
  <c r="M71" i="3"/>
  <c r="N71" i="3" s="1"/>
  <c r="E71" i="3" l="1"/>
  <c r="C71" i="3" s="1"/>
  <c r="D71" i="3" s="1"/>
</calcChain>
</file>

<file path=xl/sharedStrings.xml><?xml version="1.0" encoding="utf-8"?>
<sst xmlns="http://schemas.openxmlformats.org/spreadsheetml/2006/main" count="26" uniqueCount="25">
  <si>
    <t>等级</t>
  </si>
  <si>
    <t>等级</t>
    <phoneticPr fontId="1" type="noConversion"/>
  </si>
  <si>
    <t>升级时间</t>
  </si>
  <si>
    <t>当前等级金币产出</t>
  </si>
  <si>
    <t>累计金币产出</t>
  </si>
  <si>
    <t>每天金币产出</t>
  </si>
  <si>
    <t>单怪金币</t>
  </si>
  <si>
    <t>装备售价基础值</t>
  </si>
  <si>
    <t>单只怪物掉落装备金币</t>
  </si>
  <si>
    <t>当前等级任务数量</t>
  </si>
  <si>
    <t>当前等级任务产出金币</t>
  </si>
  <si>
    <t>材料售价系数</t>
  </si>
  <si>
    <t>材料售价</t>
  </si>
  <si>
    <t>单怪材料售价</t>
  </si>
  <si>
    <t>怪物掉落装备概率</t>
  </si>
  <si>
    <t>单怪掉落材料概率:</t>
  </si>
  <si>
    <t>每天杀怪数量:</t>
  </si>
  <si>
    <t>装备售价系数</t>
  </si>
  <si>
    <t>道具售价系数</t>
  </si>
  <si>
    <t>装备售价品质系数</t>
  </si>
  <si>
    <t>单怪金币</t>
    <phoneticPr fontId="1" type="noConversion"/>
  </si>
  <si>
    <t>金币系数</t>
    <phoneticPr fontId="1" type="noConversion"/>
  </si>
  <si>
    <t>当前等级任务金币</t>
    <phoneticPr fontId="1" type="noConversion"/>
  </si>
  <si>
    <t>任务数量</t>
    <phoneticPr fontId="1" type="noConversion"/>
  </si>
  <si>
    <t>单怪装备掉落大概率: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</si>
</sst>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0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GitDreamJourney\GameDesign\&#25968;&#20540;&#25991;&#26723;\&#32463;&#39564;&#34920;.xlsx" TargetMode="External"/><Relationship Id="rId1" Type="http://schemas.openxmlformats.org/officeDocument/2006/relationships/externalLinkPath" Target="&#32463;&#39564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首页经验"/>
      <sheetName val="怪物经验"/>
      <sheetName val="任务经验"/>
    </sheetNames>
    <sheetDataSet>
      <sheetData sheetId="0">
        <row r="2">
          <cell r="D2">
            <v>0.01</v>
          </cell>
        </row>
        <row r="3">
          <cell r="D3">
            <v>0.02</v>
          </cell>
        </row>
        <row r="4">
          <cell r="D4">
            <v>0.03</v>
          </cell>
        </row>
        <row r="5">
          <cell r="D5">
            <v>0.04</v>
          </cell>
        </row>
        <row r="6">
          <cell r="D6">
            <v>0.05</v>
          </cell>
        </row>
        <row r="7">
          <cell r="D7">
            <v>0.06</v>
          </cell>
        </row>
        <row r="8">
          <cell r="D8">
            <v>7.0000000000000007E-2</v>
          </cell>
        </row>
        <row r="9">
          <cell r="D9">
            <v>0.08</v>
          </cell>
        </row>
        <row r="10">
          <cell r="D10">
            <v>0.09</v>
          </cell>
        </row>
        <row r="11">
          <cell r="D11">
            <v>0.1</v>
          </cell>
        </row>
        <row r="12">
          <cell r="D12">
            <v>0.11</v>
          </cell>
        </row>
        <row r="13">
          <cell r="D13">
            <v>0.12</v>
          </cell>
        </row>
        <row r="14">
          <cell r="D14">
            <v>0.13</v>
          </cell>
        </row>
        <row r="15">
          <cell r="D15">
            <v>0.14000000000000001</v>
          </cell>
        </row>
        <row r="16">
          <cell r="D16">
            <v>0.15</v>
          </cell>
        </row>
        <row r="17">
          <cell r="D17">
            <v>0.16</v>
          </cell>
        </row>
        <row r="18">
          <cell r="D18">
            <v>0.18</v>
          </cell>
        </row>
        <row r="19">
          <cell r="D19">
            <v>0.2</v>
          </cell>
        </row>
        <row r="20">
          <cell r="D20">
            <v>0.22</v>
          </cell>
        </row>
        <row r="21">
          <cell r="D21">
            <v>0.24</v>
          </cell>
        </row>
        <row r="22">
          <cell r="D22">
            <v>0.26</v>
          </cell>
        </row>
        <row r="23">
          <cell r="D23">
            <v>0.28000000000000003</v>
          </cell>
        </row>
        <row r="24">
          <cell r="D24">
            <v>0.3</v>
          </cell>
        </row>
        <row r="25">
          <cell r="D25">
            <v>0.32</v>
          </cell>
        </row>
        <row r="26">
          <cell r="D26">
            <v>0.34</v>
          </cell>
        </row>
        <row r="27">
          <cell r="D27">
            <v>0.37</v>
          </cell>
        </row>
        <row r="28">
          <cell r="D28">
            <v>0.4</v>
          </cell>
        </row>
        <row r="29">
          <cell r="D29">
            <v>0.43</v>
          </cell>
        </row>
        <row r="30">
          <cell r="D30">
            <v>0.46</v>
          </cell>
        </row>
        <row r="31">
          <cell r="D31">
            <v>0.49</v>
          </cell>
        </row>
        <row r="32">
          <cell r="D32">
            <v>0.52</v>
          </cell>
        </row>
        <row r="33">
          <cell r="D33">
            <v>0.55000000000000004</v>
          </cell>
        </row>
        <row r="34">
          <cell r="D34">
            <v>0.57999999999999996</v>
          </cell>
        </row>
        <row r="35">
          <cell r="D35">
            <v>0.61</v>
          </cell>
        </row>
        <row r="36">
          <cell r="D36">
            <v>0.64</v>
          </cell>
        </row>
        <row r="37">
          <cell r="D37">
            <v>0.68</v>
          </cell>
        </row>
        <row r="38">
          <cell r="D38">
            <v>0.72</v>
          </cell>
        </row>
        <row r="39">
          <cell r="D39">
            <v>0.76</v>
          </cell>
        </row>
        <row r="40">
          <cell r="D40">
            <v>0.8</v>
          </cell>
        </row>
        <row r="41">
          <cell r="D41">
            <v>0.84</v>
          </cell>
        </row>
        <row r="42">
          <cell r="D42">
            <v>0.88</v>
          </cell>
        </row>
        <row r="43">
          <cell r="D43">
            <v>0.92</v>
          </cell>
        </row>
        <row r="44">
          <cell r="D44">
            <v>0.96</v>
          </cell>
        </row>
        <row r="45">
          <cell r="D45">
            <v>1</v>
          </cell>
        </row>
        <row r="46">
          <cell r="D46">
            <v>1.05</v>
          </cell>
        </row>
        <row r="47">
          <cell r="D47">
            <v>1.1000000000000001</v>
          </cell>
        </row>
        <row r="48">
          <cell r="D48">
            <v>1.1499999999999999</v>
          </cell>
        </row>
        <row r="49">
          <cell r="D49">
            <v>1.2</v>
          </cell>
        </row>
        <row r="50">
          <cell r="D50">
            <v>1.25</v>
          </cell>
        </row>
        <row r="51">
          <cell r="D51">
            <v>1.3</v>
          </cell>
        </row>
        <row r="52">
          <cell r="D52">
            <v>1.35</v>
          </cell>
        </row>
        <row r="53">
          <cell r="D53">
            <v>1.4</v>
          </cell>
        </row>
        <row r="54">
          <cell r="D54">
            <v>1.45</v>
          </cell>
        </row>
        <row r="55">
          <cell r="D55">
            <v>1.5</v>
          </cell>
        </row>
        <row r="56">
          <cell r="D56">
            <v>1.56</v>
          </cell>
        </row>
        <row r="57">
          <cell r="D57">
            <v>1.62</v>
          </cell>
        </row>
        <row r="58">
          <cell r="D58">
            <v>1.68</v>
          </cell>
        </row>
        <row r="59">
          <cell r="D59">
            <v>1.74</v>
          </cell>
        </row>
        <row r="60">
          <cell r="D60">
            <v>1.8</v>
          </cell>
        </row>
        <row r="61">
          <cell r="D61">
            <v>1.86</v>
          </cell>
        </row>
        <row r="62">
          <cell r="D62">
            <v>1.92</v>
          </cell>
        </row>
        <row r="63">
          <cell r="D63">
            <v>1.98</v>
          </cell>
        </row>
        <row r="64">
          <cell r="D64">
            <v>2.04</v>
          </cell>
        </row>
        <row r="65">
          <cell r="D65">
            <v>2.1</v>
          </cell>
        </row>
        <row r="66">
          <cell r="D66">
            <v>2.17</v>
          </cell>
        </row>
        <row r="67">
          <cell r="D67">
            <v>2.2400000000000002</v>
          </cell>
        </row>
        <row r="68">
          <cell r="D68">
            <v>2.31</v>
          </cell>
        </row>
        <row r="69">
          <cell r="D69">
            <v>2.38</v>
          </cell>
        </row>
        <row r="70">
          <cell r="D70">
            <v>2.4500000000000002</v>
          </cell>
        </row>
        <row r="71">
          <cell r="D71">
            <v>2.52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C8C-9DA0-4EF7-A74D-BF55FE7FD07F}">
  <dimension ref="A1:U109"/>
  <sheetViews>
    <sheetView tabSelected="1" workbookViewId="0">
      <selection activeCell="C12" sqref="C12"/>
    </sheetView>
  </sheetViews>
  <sheetFormatPr defaultRowHeight="14.25" x14ac:dyDescent="0.2"/>
  <cols>
    <col min="1" max="1" width="12.75" customWidth="1"/>
    <col min="2" max="2" width="11.625" customWidth="1"/>
    <col min="3" max="3" width="15" bestFit="1" customWidth="1"/>
    <col min="4" max="4" width="12.75" customWidth="1"/>
    <col min="5" max="5" width="12.375" customWidth="1"/>
    <col min="6" max="6" width="11.25" customWidth="1"/>
    <col min="7" max="7" width="15" customWidth="1"/>
    <col min="8" max="8" width="18.625" bestFit="1" customWidth="1"/>
    <col min="9" max="9" width="15" bestFit="1" customWidth="1"/>
    <col min="10" max="10" width="18.625" bestFit="1" customWidth="1"/>
    <col min="11" max="11" width="11.875" customWidth="1"/>
    <col min="12" max="12" width="13.5" customWidth="1"/>
    <col min="13" max="13" width="11.125" customWidth="1"/>
    <col min="14" max="14" width="13" customWidth="1"/>
    <col min="15" max="15" width="15" bestFit="1" customWidth="1"/>
    <col min="16" max="16" width="12.375" customWidth="1"/>
    <col min="17" max="17" width="18.625" bestFit="1" customWidth="1"/>
    <col min="18" max="18" width="15.5" customWidth="1"/>
    <col min="19" max="19" width="14.75" customWidth="1"/>
    <col min="20" max="20" width="12.5" customWidth="1"/>
    <col min="21" max="21" width="13.125" bestFit="1" customWidth="1"/>
  </cols>
  <sheetData>
    <row r="1" spans="1:21" ht="20.100000000000001" customHeight="1" x14ac:dyDescent="0.2">
      <c r="A1" s="4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T1" s="7"/>
    </row>
    <row r="2" spans="1:21" ht="20.100000000000001" customHeight="1" x14ac:dyDescent="0.2">
      <c r="A2" s="8">
        <v>1</v>
      </c>
      <c r="B2" s="9">
        <f>[1]首页经验!D2</f>
        <v>0.01</v>
      </c>
      <c r="C2" s="9">
        <f>E2*B2+J2*I2</f>
        <v>270</v>
      </c>
      <c r="D2" s="9">
        <f>SUM($C$2:C2)</f>
        <v>270</v>
      </c>
      <c r="E2" s="9">
        <f>(H2+N2)*$R$4</f>
        <v>22000</v>
      </c>
      <c r="F2" s="9">
        <f>怪物金币!B2</f>
        <v>10</v>
      </c>
      <c r="G2" s="9">
        <f t="shared" ref="G2:G65" si="0">F2*5</f>
        <v>50</v>
      </c>
      <c r="H2" s="9">
        <f>ROUND(G2*$R$2,0)</f>
        <v>8</v>
      </c>
      <c r="I2" s="9">
        <f>任务金币!D2</f>
        <v>1</v>
      </c>
      <c r="J2" s="9">
        <f>I2*任务金币!C2</f>
        <v>50</v>
      </c>
      <c r="L2" s="9">
        <v>1</v>
      </c>
      <c r="M2" s="9">
        <f>ROUND(F2*L2,0)</f>
        <v>10</v>
      </c>
      <c r="N2" s="9">
        <f>ROUND(M2*$R$3,0)</f>
        <v>3</v>
      </c>
      <c r="O2" s="9">
        <v>0.1</v>
      </c>
      <c r="Q2" s="12" t="s">
        <v>24</v>
      </c>
      <c r="R2" s="6">
        <v>0.15</v>
      </c>
      <c r="T2" s="6"/>
      <c r="U2" s="6"/>
    </row>
    <row r="3" spans="1:21" ht="20.100000000000001" customHeight="1" x14ac:dyDescent="0.2">
      <c r="A3" s="8">
        <v>2</v>
      </c>
      <c r="B3" s="9">
        <f>[1]首页经验!D3</f>
        <v>0.02</v>
      </c>
      <c r="C3" s="9">
        <f t="shared" ref="C3:C66" si="1">E3*B3+J3*I3</f>
        <v>625</v>
      </c>
      <c r="D3" s="9">
        <f>SUM($C$2:C3)</f>
        <v>895</v>
      </c>
      <c r="E3" s="9">
        <f>(H3+N3)*$R$4</f>
        <v>28000</v>
      </c>
      <c r="F3" s="9">
        <f>怪物金币!B3</f>
        <v>13</v>
      </c>
      <c r="G3" s="9">
        <f t="shared" si="0"/>
        <v>65</v>
      </c>
      <c r="H3" s="9">
        <f>ROUND(G3*$R$2,0)</f>
        <v>10</v>
      </c>
      <c r="I3" s="9">
        <f>任务金币!D3</f>
        <v>1</v>
      </c>
      <c r="J3" s="9">
        <f>I3*任务金币!C3</f>
        <v>65</v>
      </c>
      <c r="L3" s="9">
        <v>1</v>
      </c>
      <c r="M3" s="9">
        <f>ROUND(F3*L3,0)</f>
        <v>13</v>
      </c>
      <c r="N3" s="9">
        <f>ROUND(M3*$R$3,0)</f>
        <v>4</v>
      </c>
      <c r="O3" s="9">
        <v>0.1</v>
      </c>
      <c r="Q3" s="12" t="s">
        <v>15</v>
      </c>
      <c r="R3" s="6">
        <v>0.3</v>
      </c>
    </row>
    <row r="4" spans="1:21" ht="20.100000000000001" customHeight="1" x14ac:dyDescent="0.2">
      <c r="A4" s="8">
        <v>3</v>
      </c>
      <c r="B4" s="9">
        <f>[1]首页经验!D4</f>
        <v>0.03</v>
      </c>
      <c r="C4" s="9">
        <f t="shared" si="1"/>
        <v>1100</v>
      </c>
      <c r="D4" s="9">
        <f>SUM($C$2:C4)</f>
        <v>1995</v>
      </c>
      <c r="E4" s="9">
        <f>(H4+N4)*$R$4</f>
        <v>34000</v>
      </c>
      <c r="F4" s="9">
        <f>怪物金币!B4</f>
        <v>16</v>
      </c>
      <c r="G4" s="9">
        <f t="shared" si="0"/>
        <v>80</v>
      </c>
      <c r="H4" s="9">
        <f>ROUND(G4*$R$2,0)</f>
        <v>12</v>
      </c>
      <c r="I4" s="9">
        <f>任务金币!D4</f>
        <v>1</v>
      </c>
      <c r="J4" s="9">
        <f>I4*任务金币!C4</f>
        <v>80</v>
      </c>
      <c r="L4" s="9">
        <v>1</v>
      </c>
      <c r="M4" s="9">
        <f>ROUND(F4*L4,0)</f>
        <v>16</v>
      </c>
      <c r="N4" s="9">
        <f>ROUND(M4*$R$3,0)</f>
        <v>5</v>
      </c>
      <c r="O4" s="9">
        <v>0.1</v>
      </c>
      <c r="Q4" s="12" t="s">
        <v>16</v>
      </c>
      <c r="R4" s="6">
        <v>2000</v>
      </c>
    </row>
    <row r="5" spans="1:21" ht="20.100000000000001" customHeight="1" x14ac:dyDescent="0.2">
      <c r="A5" s="8">
        <v>4</v>
      </c>
      <c r="B5" s="9">
        <f>[1]首页经验!D5</f>
        <v>0.04</v>
      </c>
      <c r="C5" s="9">
        <f t="shared" si="1"/>
        <v>2360</v>
      </c>
      <c r="D5" s="9">
        <f>SUM($C$2:C5)</f>
        <v>4355</v>
      </c>
      <c r="E5" s="9">
        <f>(H5+N5)*$R$4</f>
        <v>40000</v>
      </c>
      <c r="F5" s="9">
        <f>怪物金币!B5</f>
        <v>19</v>
      </c>
      <c r="G5" s="9">
        <f t="shared" si="0"/>
        <v>95</v>
      </c>
      <c r="H5" s="9">
        <f>ROUND(G5*$R$2,0)</f>
        <v>14</v>
      </c>
      <c r="I5" s="9">
        <f>任务金币!D5</f>
        <v>2</v>
      </c>
      <c r="J5" s="9">
        <f>I5*任务金币!C5</f>
        <v>380</v>
      </c>
      <c r="L5" s="9">
        <v>1</v>
      </c>
      <c r="M5" s="9">
        <f>ROUND(F5*L5,0)</f>
        <v>19</v>
      </c>
      <c r="N5" s="9">
        <f>ROUND(M5*$R$3,0)</f>
        <v>6</v>
      </c>
      <c r="O5" s="9">
        <v>0.1</v>
      </c>
    </row>
    <row r="6" spans="1:21" ht="20.100000000000001" customHeight="1" x14ac:dyDescent="0.2">
      <c r="A6" s="8">
        <v>5</v>
      </c>
      <c r="B6" s="9">
        <f>[1]首页经验!D6</f>
        <v>0.05</v>
      </c>
      <c r="C6" s="9">
        <f t="shared" si="1"/>
        <v>3280</v>
      </c>
      <c r="D6" s="9">
        <f>SUM($C$2:C6)</f>
        <v>7635</v>
      </c>
      <c r="E6" s="9">
        <f>(H6+N6)*$R$4</f>
        <v>48000</v>
      </c>
      <c r="F6" s="9">
        <f>怪物金币!B6</f>
        <v>22</v>
      </c>
      <c r="G6" s="9">
        <f t="shared" si="0"/>
        <v>110</v>
      </c>
      <c r="H6" s="9">
        <f>ROUND(G6*$R$2,0)</f>
        <v>17</v>
      </c>
      <c r="I6" s="9">
        <f>任务金币!D6</f>
        <v>2</v>
      </c>
      <c r="J6" s="9">
        <f>I6*任务金币!C6</f>
        <v>440</v>
      </c>
      <c r="L6" s="9">
        <v>1</v>
      </c>
      <c r="M6" s="9">
        <f>ROUND(F6*L6,0)</f>
        <v>22</v>
      </c>
      <c r="N6" s="9">
        <f>ROUND(M6*$R$3,0)</f>
        <v>7</v>
      </c>
      <c r="O6" s="9">
        <v>0.1</v>
      </c>
      <c r="Q6" s="5"/>
    </row>
    <row r="7" spans="1:21" ht="20.100000000000001" customHeight="1" x14ac:dyDescent="0.2">
      <c r="A7" s="8">
        <v>6</v>
      </c>
      <c r="B7" s="9">
        <f>[1]首页经验!D7</f>
        <v>0.06</v>
      </c>
      <c r="C7" s="9">
        <f t="shared" si="1"/>
        <v>4240</v>
      </c>
      <c r="D7" s="9">
        <f>SUM($C$2:C7)</f>
        <v>11875</v>
      </c>
      <c r="E7" s="9">
        <f>(H7+N7)*$R$4</f>
        <v>54000</v>
      </c>
      <c r="F7" s="9">
        <f>怪物金币!B7</f>
        <v>25</v>
      </c>
      <c r="G7" s="9">
        <f t="shared" si="0"/>
        <v>125</v>
      </c>
      <c r="H7" s="9">
        <f>ROUND(G7*$R$2,0)</f>
        <v>19</v>
      </c>
      <c r="I7" s="9">
        <f>任务金币!D7</f>
        <v>2</v>
      </c>
      <c r="J7" s="9">
        <f>I7*任务金币!C7</f>
        <v>500</v>
      </c>
      <c r="L7" s="9">
        <v>1</v>
      </c>
      <c r="M7" s="9">
        <f>ROUND(F7*L7,0)</f>
        <v>25</v>
      </c>
      <c r="N7" s="9">
        <f>ROUND(M7*$R$3,0)</f>
        <v>8</v>
      </c>
      <c r="O7" s="9">
        <v>0.1</v>
      </c>
      <c r="Q7" s="10"/>
      <c r="R7" s="1"/>
    </row>
    <row r="8" spans="1:21" ht="20.100000000000001" customHeight="1" x14ac:dyDescent="0.2">
      <c r="A8" s="8">
        <v>7</v>
      </c>
      <c r="B8" s="9">
        <f>[1]首页经验!D8</f>
        <v>7.0000000000000007E-2</v>
      </c>
      <c r="C8" s="9">
        <f t="shared" si="1"/>
        <v>7840</v>
      </c>
      <c r="D8" s="9">
        <f>SUM($C$2:C8)</f>
        <v>19715</v>
      </c>
      <c r="E8" s="9">
        <f>(H8+N8)*$R$4</f>
        <v>58000</v>
      </c>
      <c r="F8" s="9">
        <f>怪物金币!B8</f>
        <v>28</v>
      </c>
      <c r="G8" s="9">
        <f t="shared" si="0"/>
        <v>140</v>
      </c>
      <c r="H8" s="9">
        <f>ROUND(G8*$R$2,0)</f>
        <v>21</v>
      </c>
      <c r="I8" s="9">
        <f>任务金币!D8</f>
        <v>3</v>
      </c>
      <c r="J8" s="9">
        <f>I8*任务金币!C8</f>
        <v>1260</v>
      </c>
      <c r="L8" s="9">
        <v>1</v>
      </c>
      <c r="M8" s="9">
        <f>ROUND(F8*L8,0)</f>
        <v>28</v>
      </c>
      <c r="N8" s="9">
        <f>ROUND(M8*$R$3,0)</f>
        <v>8</v>
      </c>
      <c r="O8" s="9">
        <v>0.1</v>
      </c>
      <c r="Q8" s="5" t="s">
        <v>19</v>
      </c>
      <c r="R8" s="5" t="s">
        <v>17</v>
      </c>
      <c r="S8" s="5" t="s">
        <v>18</v>
      </c>
      <c r="U8" s="6"/>
    </row>
    <row r="9" spans="1:21" ht="20.100000000000001" customHeight="1" x14ac:dyDescent="0.2">
      <c r="A9" s="8">
        <v>8</v>
      </c>
      <c r="B9" s="9">
        <f>[1]首页经验!D9</f>
        <v>0.08</v>
      </c>
      <c r="C9" s="9">
        <f t="shared" si="1"/>
        <v>9305</v>
      </c>
      <c r="D9" s="9">
        <f>SUM($C$2:C9)</f>
        <v>29020</v>
      </c>
      <c r="E9" s="9">
        <f>(H9+N9)*$R$4</f>
        <v>64000</v>
      </c>
      <c r="F9" s="9">
        <f>怪物金币!B9</f>
        <v>31</v>
      </c>
      <c r="G9" s="9">
        <f t="shared" si="0"/>
        <v>155</v>
      </c>
      <c r="H9" s="9">
        <f>ROUND(G9*$R$2,0)</f>
        <v>23</v>
      </c>
      <c r="I9" s="9">
        <f>任务金币!D9</f>
        <v>3</v>
      </c>
      <c r="J9" s="9">
        <f>I9*任务金币!C9</f>
        <v>1395</v>
      </c>
      <c r="L9" s="9">
        <v>1</v>
      </c>
      <c r="M9" s="9">
        <f>ROUND(F9*L9,0)</f>
        <v>31</v>
      </c>
      <c r="N9" s="9">
        <f>ROUND(M9*$R$3,0)</f>
        <v>9</v>
      </c>
      <c r="O9" s="9">
        <v>0.1</v>
      </c>
      <c r="Q9" s="6">
        <v>1</v>
      </c>
      <c r="R9" s="6">
        <v>0.75</v>
      </c>
      <c r="S9" s="6">
        <v>0.75</v>
      </c>
      <c r="U9" s="6"/>
    </row>
    <row r="10" spans="1:21" ht="20.100000000000001" customHeight="1" x14ac:dyDescent="0.2">
      <c r="A10" s="8">
        <v>9</v>
      </c>
      <c r="B10" s="9">
        <f>[1]首页经验!D10</f>
        <v>0.09</v>
      </c>
      <c r="C10" s="9">
        <f t="shared" si="1"/>
        <v>11070</v>
      </c>
      <c r="D10" s="9">
        <f>SUM($C$2:C10)</f>
        <v>40090</v>
      </c>
      <c r="E10" s="9">
        <f>(H10+N10)*$R$4</f>
        <v>72000</v>
      </c>
      <c r="F10" s="9">
        <f>怪物金币!B10</f>
        <v>34</v>
      </c>
      <c r="G10" s="9">
        <f t="shared" si="0"/>
        <v>170</v>
      </c>
      <c r="H10" s="9">
        <f>ROUND(G10*$R$2,0)</f>
        <v>26</v>
      </c>
      <c r="I10" s="9">
        <f>任务金币!D10</f>
        <v>3</v>
      </c>
      <c r="J10" s="9">
        <f>I10*任务金币!C10</f>
        <v>1530</v>
      </c>
      <c r="L10" s="9">
        <v>1</v>
      </c>
      <c r="M10" s="9">
        <f>ROUND(F10*L10,0)</f>
        <v>34</v>
      </c>
      <c r="N10" s="9">
        <f>ROUND(M10*$R$3,0)</f>
        <v>10</v>
      </c>
      <c r="O10" s="9">
        <v>0.1</v>
      </c>
      <c r="Q10" s="6">
        <v>2</v>
      </c>
      <c r="R10" s="6">
        <v>1</v>
      </c>
      <c r="S10" s="6">
        <v>1</v>
      </c>
      <c r="U10" s="6"/>
    </row>
    <row r="11" spans="1:21" ht="20.100000000000001" customHeight="1" x14ac:dyDescent="0.2">
      <c r="A11" s="8">
        <v>10</v>
      </c>
      <c r="B11" s="9">
        <f>[1]首页经验!D11</f>
        <v>0.1</v>
      </c>
      <c r="C11" s="9">
        <f t="shared" si="1"/>
        <v>14460</v>
      </c>
      <c r="D11" s="9">
        <f>SUM($C$2:C11)</f>
        <v>54550</v>
      </c>
      <c r="E11" s="9">
        <f>(H11+N11)*$R$4</f>
        <v>78000</v>
      </c>
      <c r="F11" s="9">
        <f>怪物金币!B11</f>
        <v>37</v>
      </c>
      <c r="G11" s="9">
        <f t="shared" si="0"/>
        <v>185</v>
      </c>
      <c r="H11" s="9">
        <f>ROUND(G11*$R$2,0)</f>
        <v>28</v>
      </c>
      <c r="I11" s="9">
        <f>任务金币!D11</f>
        <v>3</v>
      </c>
      <c r="J11" s="9">
        <f>I11*任务金币!C11</f>
        <v>2220</v>
      </c>
      <c r="L11" s="9">
        <v>1</v>
      </c>
      <c r="M11" s="9">
        <f>ROUND(F11*L11,0)</f>
        <v>37</v>
      </c>
      <c r="N11" s="9">
        <f>ROUND(M11*$R$3,0)</f>
        <v>11</v>
      </c>
      <c r="O11" s="9">
        <v>0.1</v>
      </c>
      <c r="Q11" s="6">
        <v>3</v>
      </c>
      <c r="R11" s="6">
        <v>2.5</v>
      </c>
      <c r="S11" s="6">
        <v>3</v>
      </c>
      <c r="U11" s="6"/>
    </row>
    <row r="12" spans="1:21" ht="20.100000000000001" customHeight="1" x14ac:dyDescent="0.2">
      <c r="A12" s="8">
        <v>11</v>
      </c>
      <c r="B12" s="9">
        <f>[1]首页经验!D12</f>
        <v>0.11</v>
      </c>
      <c r="C12" s="9">
        <f t="shared" si="1"/>
        <v>22040</v>
      </c>
      <c r="D12" s="9">
        <f>SUM($C$2:C12)</f>
        <v>76590</v>
      </c>
      <c r="E12" s="9">
        <f>(H12+N12)*$R$4</f>
        <v>84000</v>
      </c>
      <c r="F12" s="9">
        <f>怪物金币!B12</f>
        <v>40</v>
      </c>
      <c r="G12" s="9">
        <f t="shared" si="0"/>
        <v>200</v>
      </c>
      <c r="H12" s="9">
        <f>ROUND(G12*$R$2,0)</f>
        <v>30</v>
      </c>
      <c r="I12" s="9">
        <f>任务金币!D12</f>
        <v>4</v>
      </c>
      <c r="J12" s="9">
        <f>I12*任务金币!C12</f>
        <v>3200</v>
      </c>
      <c r="L12" s="9">
        <v>1</v>
      </c>
      <c r="M12" s="9">
        <f>ROUND(F12*L12,0)</f>
        <v>40</v>
      </c>
      <c r="N12" s="9">
        <f>ROUND(M12*$R$3,0)</f>
        <v>12</v>
      </c>
      <c r="O12" s="9">
        <v>0.1</v>
      </c>
      <c r="Q12" s="6">
        <v>4</v>
      </c>
      <c r="R12" s="6">
        <v>5</v>
      </c>
      <c r="S12" s="6">
        <v>10</v>
      </c>
      <c r="U12" s="6"/>
    </row>
    <row r="13" spans="1:21" ht="20.100000000000001" customHeight="1" x14ac:dyDescent="0.2">
      <c r="A13" s="8">
        <v>12</v>
      </c>
      <c r="B13" s="9">
        <f>[1]首页经验!D13</f>
        <v>0.12</v>
      </c>
      <c r="C13" s="9">
        <f t="shared" si="1"/>
        <v>24560</v>
      </c>
      <c r="D13" s="9">
        <f>SUM($C$2:C13)</f>
        <v>101150</v>
      </c>
      <c r="E13" s="9">
        <f>(H13+N13)*$R$4</f>
        <v>90000</v>
      </c>
      <c r="F13" s="9">
        <f>怪物金币!B13</f>
        <v>43</v>
      </c>
      <c r="G13" s="9">
        <f t="shared" si="0"/>
        <v>215</v>
      </c>
      <c r="H13" s="9">
        <f>ROUND(G13*$R$2,0)</f>
        <v>32</v>
      </c>
      <c r="I13" s="9">
        <f>任务金币!D13</f>
        <v>4</v>
      </c>
      <c r="J13" s="9">
        <f>I13*任务金币!C13</f>
        <v>3440</v>
      </c>
      <c r="L13" s="9">
        <v>1</v>
      </c>
      <c r="M13" s="9">
        <f>ROUND(F13*L13,0)</f>
        <v>43</v>
      </c>
      <c r="N13" s="9">
        <f>ROUND(M13*$R$3,0)</f>
        <v>13</v>
      </c>
      <c r="O13" s="9">
        <v>0.1</v>
      </c>
      <c r="Q13" s="6">
        <v>5</v>
      </c>
      <c r="R13" s="6">
        <v>10</v>
      </c>
      <c r="S13" s="6">
        <v>20</v>
      </c>
      <c r="U13" s="6"/>
    </row>
    <row r="14" spans="1:21" ht="20.100000000000001" customHeight="1" x14ac:dyDescent="0.2">
      <c r="A14" s="8">
        <v>13</v>
      </c>
      <c r="B14" s="9">
        <f>[1]首页经验!D14</f>
        <v>0.13</v>
      </c>
      <c r="C14" s="9">
        <f t="shared" si="1"/>
        <v>27460</v>
      </c>
      <c r="D14" s="9">
        <f>SUM($C$2:C14)</f>
        <v>128610</v>
      </c>
      <c r="E14" s="9">
        <f>(H14+N14)*$R$4</f>
        <v>98000</v>
      </c>
      <c r="F14" s="9">
        <f>怪物金币!B14</f>
        <v>46</v>
      </c>
      <c r="G14" s="9">
        <f t="shared" si="0"/>
        <v>230</v>
      </c>
      <c r="H14" s="9">
        <f>ROUND(G14*$R$2,0)</f>
        <v>35</v>
      </c>
      <c r="I14" s="9">
        <f>任务金币!D14</f>
        <v>4</v>
      </c>
      <c r="J14" s="9">
        <f>I14*任务金币!C14</f>
        <v>3680</v>
      </c>
      <c r="L14" s="9">
        <v>1</v>
      </c>
      <c r="M14" s="9">
        <f>ROUND(F14*L14,0)</f>
        <v>46</v>
      </c>
      <c r="N14" s="9">
        <f>ROUND(M14*$R$3,0)</f>
        <v>14</v>
      </c>
      <c r="O14" s="9">
        <v>0.1</v>
      </c>
      <c r="Q14" s="5"/>
      <c r="R14" s="6"/>
      <c r="S14" s="11"/>
      <c r="T14" s="11"/>
      <c r="U14" s="11"/>
    </row>
    <row r="15" spans="1:21" ht="20.100000000000001" customHeight="1" x14ac:dyDescent="0.2">
      <c r="A15" s="8">
        <v>14</v>
      </c>
      <c r="B15" s="9">
        <f>[1]首页经验!D15</f>
        <v>0.14000000000000001</v>
      </c>
      <c r="C15" s="9">
        <f t="shared" si="1"/>
        <v>30240</v>
      </c>
      <c r="D15" s="9">
        <f>SUM($C$2:C15)</f>
        <v>158850</v>
      </c>
      <c r="E15" s="9">
        <f>(H15+N15)*$R$4</f>
        <v>104000</v>
      </c>
      <c r="F15" s="9">
        <f>怪物金币!B15</f>
        <v>49</v>
      </c>
      <c r="G15" s="9">
        <f t="shared" si="0"/>
        <v>245</v>
      </c>
      <c r="H15" s="9">
        <f>ROUND(G15*$R$2,0)</f>
        <v>37</v>
      </c>
      <c r="I15" s="9">
        <f>任务金币!D15</f>
        <v>4</v>
      </c>
      <c r="J15" s="9">
        <f>I15*任务金币!C15</f>
        <v>3920</v>
      </c>
      <c r="L15" s="9">
        <v>1</v>
      </c>
      <c r="M15" s="9">
        <f>ROUND(F15*L15,0)</f>
        <v>49</v>
      </c>
      <c r="N15" s="9">
        <f>ROUND(M15*$R$3,0)</f>
        <v>15</v>
      </c>
      <c r="O15" s="9">
        <v>0.1</v>
      </c>
      <c r="Q15" s="5"/>
      <c r="R15" s="6"/>
      <c r="S15" s="6"/>
      <c r="T15" s="6"/>
      <c r="U15" s="6"/>
    </row>
    <row r="16" spans="1:21" ht="20.100000000000001" customHeight="1" x14ac:dyDescent="0.2">
      <c r="A16" s="8">
        <v>15</v>
      </c>
      <c r="B16" s="9">
        <f>[1]首页经验!D16</f>
        <v>0.15</v>
      </c>
      <c r="C16" s="9">
        <f t="shared" si="1"/>
        <v>42500</v>
      </c>
      <c r="D16" s="9">
        <f>SUM($C$2:C16)</f>
        <v>201350</v>
      </c>
      <c r="E16" s="9">
        <f>(H16+N16)*$R$4</f>
        <v>110000</v>
      </c>
      <c r="F16" s="9">
        <f>怪物金币!B16</f>
        <v>52</v>
      </c>
      <c r="G16" s="9">
        <f t="shared" si="0"/>
        <v>260</v>
      </c>
      <c r="H16" s="9">
        <f>ROUND(G16*$R$2,0)</f>
        <v>39</v>
      </c>
      <c r="I16" s="9">
        <f>任务金币!D16</f>
        <v>5</v>
      </c>
      <c r="J16" s="9">
        <f>I16*任务金币!C16</f>
        <v>5200</v>
      </c>
      <c r="L16" s="9">
        <v>1</v>
      </c>
      <c r="M16" s="9">
        <f>ROUND(F16*L16,0)</f>
        <v>52</v>
      </c>
      <c r="N16" s="9">
        <f>ROUND(M16*$R$3,0)</f>
        <v>16</v>
      </c>
      <c r="O16" s="9">
        <v>0.1</v>
      </c>
      <c r="Q16" s="10"/>
      <c r="R16" s="6"/>
      <c r="S16" s="6"/>
      <c r="T16" s="6"/>
      <c r="U16" s="6"/>
    </row>
    <row r="17" spans="1:21" ht="20.100000000000001" customHeight="1" x14ac:dyDescent="0.2">
      <c r="A17" s="8">
        <v>16</v>
      </c>
      <c r="B17" s="9">
        <f>[1]首页经验!D17</f>
        <v>0.16</v>
      </c>
      <c r="C17" s="9">
        <f t="shared" si="1"/>
        <v>46060</v>
      </c>
      <c r="D17" s="9">
        <f>SUM($C$2:C17)</f>
        <v>247410</v>
      </c>
      <c r="E17" s="9">
        <f>(H17+N17)*$R$4</f>
        <v>116000</v>
      </c>
      <c r="F17" s="9">
        <f>怪物金币!B17</f>
        <v>55</v>
      </c>
      <c r="G17" s="9">
        <f t="shared" si="0"/>
        <v>275</v>
      </c>
      <c r="H17" s="9">
        <f>ROUND(G17*$R$2,0)</f>
        <v>41</v>
      </c>
      <c r="I17" s="9">
        <f>任务金币!D17</f>
        <v>5</v>
      </c>
      <c r="J17" s="9">
        <f>I17*任务金币!C17</f>
        <v>5500</v>
      </c>
      <c r="L17" s="9">
        <v>1</v>
      </c>
      <c r="M17" s="9">
        <f>ROUND(F17*L17,0)</f>
        <v>55</v>
      </c>
      <c r="N17" s="9">
        <f>ROUND(M17*$R$3,0)</f>
        <v>17</v>
      </c>
      <c r="O17" s="9">
        <v>0.1</v>
      </c>
      <c r="Q17" s="10"/>
      <c r="R17" s="6"/>
      <c r="S17" s="6"/>
      <c r="T17" s="6"/>
      <c r="U17" s="6"/>
    </row>
    <row r="18" spans="1:21" ht="20.100000000000001" customHeight="1" x14ac:dyDescent="0.2">
      <c r="A18" s="8">
        <v>17</v>
      </c>
      <c r="B18" s="9">
        <f>[1]首页经验!D18</f>
        <v>0.18</v>
      </c>
      <c r="C18" s="9">
        <f t="shared" si="1"/>
        <v>50960</v>
      </c>
      <c r="D18" s="9">
        <f>SUM($C$2:C18)</f>
        <v>298370</v>
      </c>
      <c r="E18" s="9">
        <f>(H18+N18)*$R$4</f>
        <v>122000</v>
      </c>
      <c r="F18" s="9">
        <f>怪物金币!B18</f>
        <v>58</v>
      </c>
      <c r="G18" s="9">
        <f t="shared" si="0"/>
        <v>290</v>
      </c>
      <c r="H18" s="9">
        <f>ROUND(G18*$R$2,0)</f>
        <v>44</v>
      </c>
      <c r="I18" s="9">
        <f>任务金币!D18</f>
        <v>5</v>
      </c>
      <c r="J18" s="9">
        <f>I18*任务金币!C18</f>
        <v>5800</v>
      </c>
      <c r="L18" s="9">
        <v>1</v>
      </c>
      <c r="M18" s="9">
        <f>ROUND(F18*L18,0)</f>
        <v>58</v>
      </c>
      <c r="N18" s="9">
        <f>ROUND(M18*$R$3,0)</f>
        <v>17</v>
      </c>
      <c r="O18" s="9">
        <v>0.1</v>
      </c>
      <c r="R18" s="6"/>
      <c r="S18" s="6"/>
      <c r="T18" s="6"/>
      <c r="U18" s="6"/>
    </row>
    <row r="19" spans="1:21" ht="20.100000000000001" customHeight="1" x14ac:dyDescent="0.2">
      <c r="A19" s="8">
        <v>18</v>
      </c>
      <c r="B19" s="9">
        <f>[1]首页经验!D19</f>
        <v>0.2</v>
      </c>
      <c r="C19" s="9">
        <f t="shared" si="1"/>
        <v>56100</v>
      </c>
      <c r="D19" s="9">
        <f>SUM($C$2:C19)</f>
        <v>354470</v>
      </c>
      <c r="E19" s="9">
        <f>(H19+N19)*$R$4</f>
        <v>128000</v>
      </c>
      <c r="F19" s="9">
        <f>怪物金币!B19</f>
        <v>61</v>
      </c>
      <c r="G19" s="9">
        <f t="shared" si="0"/>
        <v>305</v>
      </c>
      <c r="H19" s="9">
        <f>ROUND(G19*$R$2,0)</f>
        <v>46</v>
      </c>
      <c r="I19" s="9">
        <f>任务金币!D19</f>
        <v>5</v>
      </c>
      <c r="J19" s="9">
        <f>I19*任务金币!C19</f>
        <v>6100</v>
      </c>
      <c r="L19" s="9">
        <v>1</v>
      </c>
      <c r="M19" s="9">
        <f>ROUND(F19*L19,0)</f>
        <v>61</v>
      </c>
      <c r="N19" s="9">
        <f>ROUND(M19*$R$3,0)</f>
        <v>18</v>
      </c>
      <c r="O19" s="9">
        <v>0.1</v>
      </c>
      <c r="R19" s="6"/>
      <c r="S19" s="6"/>
      <c r="T19" s="6"/>
      <c r="U19" s="6"/>
    </row>
    <row r="20" spans="1:21" ht="20.100000000000001" customHeight="1" x14ac:dyDescent="0.2">
      <c r="A20" s="8">
        <v>19</v>
      </c>
      <c r="B20" s="9">
        <f>[1]首页经验!D20</f>
        <v>0.22</v>
      </c>
      <c r="C20" s="9">
        <f t="shared" si="1"/>
        <v>61480</v>
      </c>
      <c r="D20" s="9">
        <f>SUM($C$2:C20)</f>
        <v>415950</v>
      </c>
      <c r="E20" s="9">
        <f>(H20+N20)*$R$4</f>
        <v>134000</v>
      </c>
      <c r="F20" s="9">
        <f>怪物金币!B20</f>
        <v>64</v>
      </c>
      <c r="G20" s="9">
        <f t="shared" si="0"/>
        <v>320</v>
      </c>
      <c r="H20" s="9">
        <f>ROUND(G20*$R$2,0)</f>
        <v>48</v>
      </c>
      <c r="I20" s="9">
        <f>任务金币!D20</f>
        <v>5</v>
      </c>
      <c r="J20" s="9">
        <f>I20*任务金币!C20</f>
        <v>6400</v>
      </c>
      <c r="L20" s="9">
        <v>1</v>
      </c>
      <c r="M20" s="9">
        <f>ROUND(F20*L20,0)</f>
        <v>64</v>
      </c>
      <c r="N20" s="9">
        <f>ROUND(M20*$R$3,0)</f>
        <v>19</v>
      </c>
      <c r="O20" s="9">
        <v>0.1</v>
      </c>
      <c r="R20" s="6"/>
      <c r="S20" s="6"/>
      <c r="T20" s="6"/>
      <c r="U20" s="6"/>
    </row>
    <row r="21" spans="1:21" ht="20.100000000000001" customHeight="1" x14ac:dyDescent="0.2">
      <c r="A21" s="8">
        <v>20</v>
      </c>
      <c r="B21" s="9">
        <f>[1]首页经验!D21</f>
        <v>0.24</v>
      </c>
      <c r="C21" s="9">
        <f t="shared" si="1"/>
        <v>67100</v>
      </c>
      <c r="D21" s="9">
        <f>SUM($C$2:C21)</f>
        <v>483050</v>
      </c>
      <c r="E21" s="9">
        <f>(H21+N21)*$R$4</f>
        <v>140000</v>
      </c>
      <c r="F21" s="9">
        <f>怪物金币!B21</f>
        <v>67</v>
      </c>
      <c r="G21" s="9">
        <f t="shared" si="0"/>
        <v>335</v>
      </c>
      <c r="H21" s="9">
        <f>ROUND(G21*$R$2,0)</f>
        <v>50</v>
      </c>
      <c r="I21" s="9">
        <f>任务金币!D21</f>
        <v>5</v>
      </c>
      <c r="J21" s="9">
        <f>I21*任务金币!C21</f>
        <v>6700</v>
      </c>
      <c r="L21" s="9">
        <v>1</v>
      </c>
      <c r="M21" s="9">
        <f>ROUND(F21*L21,0)</f>
        <v>67</v>
      </c>
      <c r="N21" s="9">
        <f>ROUND(M21*$R$3,0)</f>
        <v>20</v>
      </c>
      <c r="O21" s="9">
        <v>0.1</v>
      </c>
      <c r="R21" s="6"/>
      <c r="S21" s="6"/>
      <c r="T21" s="6"/>
      <c r="U21" s="6"/>
    </row>
    <row r="22" spans="1:21" ht="20.100000000000001" customHeight="1" x14ac:dyDescent="0.2">
      <c r="A22" s="8">
        <v>21</v>
      </c>
      <c r="B22" s="9">
        <f>[1]首页经验!D22</f>
        <v>0.26</v>
      </c>
      <c r="C22" s="9">
        <f t="shared" si="1"/>
        <v>73480</v>
      </c>
      <c r="D22" s="9">
        <f>SUM($C$2:C22)</f>
        <v>556530</v>
      </c>
      <c r="E22" s="9">
        <f>(H22+N22)*$R$4</f>
        <v>148000</v>
      </c>
      <c r="F22" s="9">
        <f>怪物金币!B22</f>
        <v>70</v>
      </c>
      <c r="G22" s="9">
        <f t="shared" si="0"/>
        <v>350</v>
      </c>
      <c r="H22" s="9">
        <f>ROUND(G22*$R$2,0)</f>
        <v>53</v>
      </c>
      <c r="I22" s="9">
        <f>任务金币!D22</f>
        <v>5</v>
      </c>
      <c r="J22" s="9">
        <f>I22*任务金币!C22</f>
        <v>7000</v>
      </c>
      <c r="L22" s="9">
        <v>1</v>
      </c>
      <c r="M22" s="9">
        <f>ROUND(F22*L22,0)</f>
        <v>70</v>
      </c>
      <c r="N22" s="9">
        <f>ROUND(M22*$R$3,0)</f>
        <v>21</v>
      </c>
      <c r="O22" s="9">
        <v>0.1</v>
      </c>
      <c r="R22" s="6"/>
      <c r="S22" s="6"/>
      <c r="T22" s="6"/>
      <c r="U22" s="6"/>
    </row>
    <row r="23" spans="1:21" ht="20.100000000000001" customHeight="1" x14ac:dyDescent="0.2">
      <c r="A23" s="8">
        <v>22</v>
      </c>
      <c r="B23" s="9">
        <f>[1]首页经验!D23</f>
        <v>0.28000000000000003</v>
      </c>
      <c r="C23" s="9">
        <f t="shared" si="1"/>
        <v>79620</v>
      </c>
      <c r="D23" s="9">
        <f>SUM($C$2:C23)</f>
        <v>636150</v>
      </c>
      <c r="E23" s="9">
        <f>(H23+N23)*$R$4</f>
        <v>154000</v>
      </c>
      <c r="F23" s="9">
        <f>怪物金币!B23</f>
        <v>73</v>
      </c>
      <c r="G23" s="9">
        <f t="shared" si="0"/>
        <v>365</v>
      </c>
      <c r="H23" s="9">
        <f>ROUND(G23*$R$2,0)</f>
        <v>55</v>
      </c>
      <c r="I23" s="9">
        <f>任务金币!D23</f>
        <v>5</v>
      </c>
      <c r="J23" s="9">
        <f>I23*任务金币!C23</f>
        <v>7300</v>
      </c>
      <c r="L23" s="9">
        <v>1</v>
      </c>
      <c r="M23" s="9">
        <f>ROUND(F23*L23,0)</f>
        <v>73</v>
      </c>
      <c r="N23" s="9">
        <f>ROUND(M23*$R$3,0)</f>
        <v>22</v>
      </c>
      <c r="O23" s="9">
        <v>0.1</v>
      </c>
      <c r="R23" s="6"/>
      <c r="S23" s="6"/>
      <c r="T23" s="6"/>
      <c r="U23" s="6"/>
    </row>
    <row r="24" spans="1:21" ht="20.100000000000001" customHeight="1" x14ac:dyDescent="0.2">
      <c r="A24" s="8">
        <v>23</v>
      </c>
      <c r="B24" s="9">
        <f>[1]首页经验!D24</f>
        <v>0.3</v>
      </c>
      <c r="C24" s="9">
        <f t="shared" si="1"/>
        <v>86000</v>
      </c>
      <c r="D24" s="9">
        <f>SUM($C$2:C24)</f>
        <v>722150</v>
      </c>
      <c r="E24" s="9">
        <f>(H24+N24)*$R$4</f>
        <v>160000</v>
      </c>
      <c r="F24" s="9">
        <f>怪物金币!B24</f>
        <v>76</v>
      </c>
      <c r="G24" s="9">
        <f t="shared" si="0"/>
        <v>380</v>
      </c>
      <c r="H24" s="9">
        <f>ROUND(G24*$R$2,0)</f>
        <v>57</v>
      </c>
      <c r="I24" s="9">
        <f>任务金币!D24</f>
        <v>5</v>
      </c>
      <c r="J24" s="9">
        <f>I24*任务金币!C24</f>
        <v>7600</v>
      </c>
      <c r="L24" s="9">
        <v>1</v>
      </c>
      <c r="M24" s="9">
        <f>ROUND(F24*L24,0)</f>
        <v>76</v>
      </c>
      <c r="N24" s="9">
        <f>ROUND(M24*$R$3,0)</f>
        <v>23</v>
      </c>
      <c r="O24" s="9">
        <v>0.1</v>
      </c>
      <c r="R24" s="6"/>
      <c r="S24" s="6"/>
      <c r="T24" s="6"/>
      <c r="U24" s="6"/>
    </row>
    <row r="25" spans="1:21" ht="20.100000000000001" customHeight="1" x14ac:dyDescent="0.2">
      <c r="A25" s="8">
        <v>24</v>
      </c>
      <c r="B25" s="9">
        <f>[1]首页经验!D25</f>
        <v>0.32</v>
      </c>
      <c r="C25" s="9">
        <f t="shared" si="1"/>
        <v>92620</v>
      </c>
      <c r="D25" s="9">
        <f>SUM($C$2:C25)</f>
        <v>814770</v>
      </c>
      <c r="E25" s="9">
        <f>(H25+N25)*$R$4</f>
        <v>166000</v>
      </c>
      <c r="F25" s="9">
        <f>怪物金币!B25</f>
        <v>79</v>
      </c>
      <c r="G25" s="9">
        <f t="shared" si="0"/>
        <v>395</v>
      </c>
      <c r="H25" s="9">
        <f>ROUND(G25*$R$2,0)</f>
        <v>59</v>
      </c>
      <c r="I25" s="9">
        <f>任务金币!D25</f>
        <v>5</v>
      </c>
      <c r="J25" s="9">
        <f>I25*任务金币!C25</f>
        <v>7900</v>
      </c>
      <c r="L25" s="9">
        <v>1</v>
      </c>
      <c r="M25" s="9">
        <f>ROUND(F25*L25,0)</f>
        <v>79</v>
      </c>
      <c r="N25" s="9">
        <f>ROUND(M25*$R$3,0)</f>
        <v>24</v>
      </c>
      <c r="O25" s="9">
        <v>0.1</v>
      </c>
      <c r="S25" s="6"/>
      <c r="T25" s="6"/>
      <c r="U25" s="6"/>
    </row>
    <row r="26" spans="1:21" ht="20.100000000000001" customHeight="1" x14ac:dyDescent="0.2">
      <c r="A26" s="8">
        <v>25</v>
      </c>
      <c r="B26" s="9">
        <f>[1]首页经验!D26</f>
        <v>0.34</v>
      </c>
      <c r="C26" s="9">
        <f t="shared" si="1"/>
        <v>100160</v>
      </c>
      <c r="D26" s="9">
        <f>SUM($C$2:C26)</f>
        <v>914930</v>
      </c>
      <c r="E26" s="9">
        <f>(H26+N26)*$R$4</f>
        <v>174000</v>
      </c>
      <c r="F26" s="9">
        <f>怪物金币!B26</f>
        <v>82</v>
      </c>
      <c r="G26" s="9">
        <f t="shared" si="0"/>
        <v>410</v>
      </c>
      <c r="H26" s="9">
        <f>ROUND(G26*$R$2,0)</f>
        <v>62</v>
      </c>
      <c r="I26" s="9">
        <f>任务金币!D26</f>
        <v>5</v>
      </c>
      <c r="J26" s="9">
        <f>I26*任务金币!C26</f>
        <v>8200</v>
      </c>
      <c r="L26" s="9">
        <v>1</v>
      </c>
      <c r="M26" s="9">
        <f>ROUND(F26*L26,0)</f>
        <v>82</v>
      </c>
      <c r="N26" s="9">
        <f>ROUND(M26*$R$3,0)</f>
        <v>25</v>
      </c>
      <c r="O26" s="9">
        <v>0.1</v>
      </c>
    </row>
    <row r="27" spans="1:21" ht="20.100000000000001" customHeight="1" x14ac:dyDescent="0.2">
      <c r="A27" s="8">
        <v>26</v>
      </c>
      <c r="B27" s="9">
        <f>[1]首页经验!D27</f>
        <v>0.37</v>
      </c>
      <c r="C27" s="9">
        <f t="shared" si="1"/>
        <v>109100</v>
      </c>
      <c r="D27" s="9">
        <f>SUM($C$2:C27)</f>
        <v>1024030</v>
      </c>
      <c r="E27" s="9">
        <f>(H27+N27)*$R$4</f>
        <v>180000</v>
      </c>
      <c r="F27" s="9">
        <f>怪物金币!B27</f>
        <v>85</v>
      </c>
      <c r="G27" s="9">
        <f t="shared" si="0"/>
        <v>425</v>
      </c>
      <c r="H27" s="9">
        <f>ROUND(G27*$R$2,0)</f>
        <v>64</v>
      </c>
      <c r="I27" s="9">
        <f>任务金币!D27</f>
        <v>5</v>
      </c>
      <c r="J27" s="9">
        <f>I27*任务金币!C27</f>
        <v>8500</v>
      </c>
      <c r="L27" s="9">
        <v>1</v>
      </c>
      <c r="M27" s="9">
        <f>ROUND(F27*L27,0)</f>
        <v>85</v>
      </c>
      <c r="N27" s="9">
        <f>ROUND(M27*$R$3,0)</f>
        <v>26</v>
      </c>
      <c r="O27" s="9">
        <v>0.1</v>
      </c>
    </row>
    <row r="28" spans="1:21" ht="20.100000000000001" customHeight="1" x14ac:dyDescent="0.2">
      <c r="A28" s="8">
        <v>27</v>
      </c>
      <c r="B28" s="9">
        <f>[1]首页经验!D28</f>
        <v>0.4</v>
      </c>
      <c r="C28" s="9">
        <f t="shared" si="1"/>
        <v>117600</v>
      </c>
      <c r="D28" s="9">
        <f>SUM($C$2:C28)</f>
        <v>1141630</v>
      </c>
      <c r="E28" s="9">
        <f>(H28+N28)*$R$4</f>
        <v>184000</v>
      </c>
      <c r="F28" s="9">
        <f>怪物金币!B28</f>
        <v>88</v>
      </c>
      <c r="G28" s="9">
        <f t="shared" si="0"/>
        <v>440</v>
      </c>
      <c r="H28" s="9">
        <f>ROUND(G28*$R$2,0)</f>
        <v>66</v>
      </c>
      <c r="I28" s="9">
        <f>任务金币!D28</f>
        <v>5</v>
      </c>
      <c r="J28" s="9">
        <f>I28*任务金币!C28</f>
        <v>8800</v>
      </c>
      <c r="L28" s="9">
        <v>1</v>
      </c>
      <c r="M28" s="9">
        <f>ROUND(F28*L28,0)</f>
        <v>88</v>
      </c>
      <c r="N28" s="9">
        <f>ROUND(M28*$R$3,0)</f>
        <v>26</v>
      </c>
      <c r="O28" s="9">
        <v>0.1</v>
      </c>
    </row>
    <row r="29" spans="1:21" ht="20.100000000000001" customHeight="1" x14ac:dyDescent="0.2">
      <c r="A29" s="8">
        <v>28</v>
      </c>
      <c r="B29" s="9">
        <f>[1]首页经验!D29</f>
        <v>0.43</v>
      </c>
      <c r="C29" s="9">
        <f t="shared" si="1"/>
        <v>127200</v>
      </c>
      <c r="D29" s="9">
        <f>SUM($C$2:C29)</f>
        <v>1268830</v>
      </c>
      <c r="E29" s="9">
        <f>(H29+N29)*$R$4</f>
        <v>190000</v>
      </c>
      <c r="F29" s="9">
        <f>怪物金币!B29</f>
        <v>91</v>
      </c>
      <c r="G29" s="9">
        <f t="shared" si="0"/>
        <v>455</v>
      </c>
      <c r="H29" s="9">
        <f>ROUND(G29*$R$2,0)</f>
        <v>68</v>
      </c>
      <c r="I29" s="9">
        <f>任务金币!D29</f>
        <v>5</v>
      </c>
      <c r="J29" s="9">
        <f>I29*任务金币!C29</f>
        <v>9100</v>
      </c>
      <c r="L29" s="9">
        <v>1</v>
      </c>
      <c r="M29" s="9">
        <f>ROUND(F29*L29,0)</f>
        <v>91</v>
      </c>
      <c r="N29" s="9">
        <f>ROUND(M29*$R$3,0)</f>
        <v>27</v>
      </c>
      <c r="O29" s="9">
        <v>0.1</v>
      </c>
    </row>
    <row r="30" spans="1:21" ht="20.100000000000001" customHeight="1" x14ac:dyDescent="0.2">
      <c r="A30" s="8">
        <v>29</v>
      </c>
      <c r="B30" s="9">
        <f>[1]首页经验!D30</f>
        <v>0.46</v>
      </c>
      <c r="C30" s="9">
        <f t="shared" si="1"/>
        <v>138080</v>
      </c>
      <c r="D30" s="9">
        <f>SUM($C$2:C30)</f>
        <v>1406910</v>
      </c>
      <c r="E30" s="9">
        <f>(H30+N30)*$R$4</f>
        <v>198000</v>
      </c>
      <c r="F30" s="9">
        <f>怪物金币!B30</f>
        <v>94</v>
      </c>
      <c r="G30" s="9">
        <f t="shared" si="0"/>
        <v>470</v>
      </c>
      <c r="H30" s="9">
        <f>ROUND(G30*$R$2,0)</f>
        <v>71</v>
      </c>
      <c r="I30" s="9">
        <f>任务金币!D30</f>
        <v>5</v>
      </c>
      <c r="J30" s="9">
        <f>I30*任务金币!C30</f>
        <v>9400</v>
      </c>
      <c r="L30" s="9">
        <v>1</v>
      </c>
      <c r="M30" s="9">
        <f>ROUND(F30*L30,0)</f>
        <v>94</v>
      </c>
      <c r="N30" s="9">
        <f>ROUND(M30*$R$3,0)</f>
        <v>28</v>
      </c>
      <c r="O30" s="9">
        <v>0.1</v>
      </c>
    </row>
    <row r="31" spans="1:21" ht="20.100000000000001" customHeight="1" x14ac:dyDescent="0.2">
      <c r="A31" s="8">
        <v>30</v>
      </c>
      <c r="B31" s="9">
        <f>[1]首页经验!D31</f>
        <v>0.49</v>
      </c>
      <c r="C31" s="9">
        <f t="shared" si="1"/>
        <v>148460</v>
      </c>
      <c r="D31" s="9">
        <f>SUM($C$2:C31)</f>
        <v>1555370</v>
      </c>
      <c r="E31" s="9">
        <f>(H31+N31)*$R$4</f>
        <v>204000</v>
      </c>
      <c r="F31" s="9">
        <f>怪物金币!B31</f>
        <v>97</v>
      </c>
      <c r="G31" s="9">
        <f t="shared" si="0"/>
        <v>485</v>
      </c>
      <c r="H31" s="9">
        <f>ROUND(G31*$R$2,0)</f>
        <v>73</v>
      </c>
      <c r="I31" s="9">
        <f>任务金币!D31</f>
        <v>5</v>
      </c>
      <c r="J31" s="9">
        <f>I31*任务金币!C31</f>
        <v>9700</v>
      </c>
      <c r="L31" s="9">
        <v>1</v>
      </c>
      <c r="M31" s="9">
        <f>ROUND(F31*L31,0)</f>
        <v>97</v>
      </c>
      <c r="N31" s="9">
        <f>ROUND(M31*$R$3,0)</f>
        <v>29</v>
      </c>
      <c r="O31" s="9">
        <v>0.1</v>
      </c>
    </row>
    <row r="32" spans="1:21" ht="20.100000000000001" customHeight="1" x14ac:dyDescent="0.2">
      <c r="A32" s="8">
        <v>31</v>
      </c>
      <c r="B32" s="9">
        <f>[1]首页经验!D32</f>
        <v>0.52</v>
      </c>
      <c r="C32" s="9">
        <f t="shared" si="1"/>
        <v>159200</v>
      </c>
      <c r="D32" s="9">
        <f>SUM($C$2:C32)</f>
        <v>1714570</v>
      </c>
      <c r="E32" s="9">
        <f>(H32+N32)*$R$4</f>
        <v>210000</v>
      </c>
      <c r="F32" s="9">
        <f>怪物金币!B32</f>
        <v>100</v>
      </c>
      <c r="G32" s="9">
        <f t="shared" si="0"/>
        <v>500</v>
      </c>
      <c r="H32" s="9">
        <f>ROUND(G32*$R$2,0)</f>
        <v>75</v>
      </c>
      <c r="I32" s="9">
        <f>任务金币!D32</f>
        <v>5</v>
      </c>
      <c r="J32" s="9">
        <f>I32*任务金币!C32</f>
        <v>10000</v>
      </c>
      <c r="L32" s="9">
        <v>1</v>
      </c>
      <c r="M32" s="9">
        <f>ROUND(F32*L32,0)</f>
        <v>100</v>
      </c>
      <c r="N32" s="9">
        <f>ROUND(M32*$R$3,0)</f>
        <v>30</v>
      </c>
      <c r="O32" s="9">
        <v>0.1</v>
      </c>
    </row>
    <row r="33" spans="1:15" ht="20.100000000000001" customHeight="1" x14ac:dyDescent="0.2">
      <c r="A33" s="8">
        <v>32</v>
      </c>
      <c r="B33" s="9">
        <f>[1]首页经验!D33</f>
        <v>0.55000000000000004</v>
      </c>
      <c r="C33" s="9">
        <f t="shared" si="1"/>
        <v>170300</v>
      </c>
      <c r="D33" s="9">
        <f>SUM($C$2:C33)</f>
        <v>1884870</v>
      </c>
      <c r="E33" s="9">
        <f>(H33+N33)*$R$4</f>
        <v>216000</v>
      </c>
      <c r="F33" s="9">
        <f>怪物金币!B33</f>
        <v>103</v>
      </c>
      <c r="G33" s="9">
        <f t="shared" si="0"/>
        <v>515</v>
      </c>
      <c r="H33" s="9">
        <f>ROUND(G33*$R$2,0)</f>
        <v>77</v>
      </c>
      <c r="I33" s="9">
        <f>任务金币!D33</f>
        <v>5</v>
      </c>
      <c r="J33" s="9">
        <f>I33*任务金币!C33</f>
        <v>10300</v>
      </c>
      <c r="L33" s="9">
        <v>1</v>
      </c>
      <c r="M33" s="9">
        <f>ROUND(F33*L33,0)</f>
        <v>103</v>
      </c>
      <c r="N33" s="9">
        <f>ROUND(M33*$R$3,0)</f>
        <v>31</v>
      </c>
      <c r="O33" s="9">
        <v>0.1</v>
      </c>
    </row>
    <row r="34" spans="1:15" ht="20.100000000000001" customHeight="1" x14ac:dyDescent="0.2">
      <c r="A34" s="8">
        <v>33</v>
      </c>
      <c r="B34" s="9">
        <f>[1]首页经验!D34</f>
        <v>0.57999999999999996</v>
      </c>
      <c r="C34" s="9">
        <f t="shared" si="1"/>
        <v>182920</v>
      </c>
      <c r="D34" s="9">
        <f>SUM($C$2:C34)</f>
        <v>2067790</v>
      </c>
      <c r="E34" s="9">
        <f>(H34+N34)*$R$4</f>
        <v>224000</v>
      </c>
      <c r="F34" s="9">
        <f>怪物金币!B34</f>
        <v>106</v>
      </c>
      <c r="G34" s="9">
        <f t="shared" si="0"/>
        <v>530</v>
      </c>
      <c r="H34" s="9">
        <f>ROUND(G34*$R$2,0)</f>
        <v>80</v>
      </c>
      <c r="I34" s="9">
        <f>任务金币!D34</f>
        <v>5</v>
      </c>
      <c r="J34" s="9">
        <f>I34*任务金币!C34</f>
        <v>10600</v>
      </c>
      <c r="L34" s="9">
        <v>1</v>
      </c>
      <c r="M34" s="9">
        <f>ROUND(F34*L34,0)</f>
        <v>106</v>
      </c>
      <c r="N34" s="9">
        <f>ROUND(M34*$R$3,0)</f>
        <v>32</v>
      </c>
      <c r="O34" s="9">
        <v>0.1</v>
      </c>
    </row>
    <row r="35" spans="1:15" ht="20.100000000000001" customHeight="1" x14ac:dyDescent="0.2">
      <c r="A35" s="8">
        <v>34</v>
      </c>
      <c r="B35" s="9">
        <f>[1]首页经验!D35</f>
        <v>0.61</v>
      </c>
      <c r="C35" s="9">
        <f t="shared" si="1"/>
        <v>194800</v>
      </c>
      <c r="D35" s="9">
        <f>SUM($C$2:C35)</f>
        <v>2262590</v>
      </c>
      <c r="E35" s="9">
        <f>(H35+N35)*$R$4</f>
        <v>230000</v>
      </c>
      <c r="F35" s="9">
        <f>怪物金币!B35</f>
        <v>109</v>
      </c>
      <c r="G35" s="9">
        <f t="shared" si="0"/>
        <v>545</v>
      </c>
      <c r="H35" s="9">
        <f>ROUND(G35*$R$2,0)</f>
        <v>82</v>
      </c>
      <c r="I35" s="9">
        <f>任务金币!D35</f>
        <v>5</v>
      </c>
      <c r="J35" s="9">
        <f>I35*任务金币!C35</f>
        <v>10900</v>
      </c>
      <c r="L35" s="9">
        <v>1</v>
      </c>
      <c r="M35" s="9">
        <f>ROUND(F35*L35,0)</f>
        <v>109</v>
      </c>
      <c r="N35" s="9">
        <f>ROUND(M35*$R$3,0)</f>
        <v>33</v>
      </c>
      <c r="O35" s="9">
        <v>0.1</v>
      </c>
    </row>
    <row r="36" spans="1:15" ht="20.100000000000001" customHeight="1" x14ac:dyDescent="0.2">
      <c r="A36" s="8">
        <v>35</v>
      </c>
      <c r="B36" s="9">
        <f>[1]首页经验!D36</f>
        <v>0.64</v>
      </c>
      <c r="C36" s="9">
        <f t="shared" si="1"/>
        <v>207040</v>
      </c>
      <c r="D36" s="9">
        <f>SUM($C$2:C36)</f>
        <v>2469630</v>
      </c>
      <c r="E36" s="9">
        <f>(H36+N36)*$R$4</f>
        <v>236000</v>
      </c>
      <c r="F36" s="9">
        <f>怪物金币!B36</f>
        <v>112</v>
      </c>
      <c r="G36" s="9">
        <f t="shared" si="0"/>
        <v>560</v>
      </c>
      <c r="H36" s="9">
        <f>ROUND(G36*$R$2,0)</f>
        <v>84</v>
      </c>
      <c r="I36" s="9">
        <f>任务金币!D36</f>
        <v>5</v>
      </c>
      <c r="J36" s="9">
        <f>I36*任务金币!C36</f>
        <v>11200</v>
      </c>
      <c r="L36" s="9">
        <v>1</v>
      </c>
      <c r="M36" s="9">
        <f>ROUND(F36*L36,0)</f>
        <v>112</v>
      </c>
      <c r="N36" s="9">
        <f>ROUND(M36*$R$3,0)</f>
        <v>34</v>
      </c>
      <c r="O36" s="9">
        <v>0.1</v>
      </c>
    </row>
    <row r="37" spans="1:15" ht="20.100000000000001" customHeight="1" x14ac:dyDescent="0.2">
      <c r="A37" s="8">
        <v>36</v>
      </c>
      <c r="B37" s="9">
        <f>[1]首页经验!D37</f>
        <v>0.68</v>
      </c>
      <c r="C37" s="9">
        <f t="shared" si="1"/>
        <v>222060</v>
      </c>
      <c r="D37" s="9">
        <f>SUM($C$2:C37)</f>
        <v>2691690</v>
      </c>
      <c r="E37" s="9">
        <f>(H37+N37)*$R$4</f>
        <v>242000</v>
      </c>
      <c r="F37" s="9">
        <f>怪物金币!B37</f>
        <v>115</v>
      </c>
      <c r="G37" s="9">
        <f t="shared" si="0"/>
        <v>575</v>
      </c>
      <c r="H37" s="9">
        <f>ROUND(G37*$R$2,0)</f>
        <v>86</v>
      </c>
      <c r="I37" s="9">
        <f>任务金币!D37</f>
        <v>5</v>
      </c>
      <c r="J37" s="9">
        <f>I37*任务金币!C37</f>
        <v>11500</v>
      </c>
      <c r="L37" s="9">
        <v>1</v>
      </c>
      <c r="M37" s="9">
        <f>ROUND(F37*L37,0)</f>
        <v>115</v>
      </c>
      <c r="N37" s="9">
        <f>ROUND(M37*$R$3,0)</f>
        <v>35</v>
      </c>
      <c r="O37" s="9">
        <v>0.1</v>
      </c>
    </row>
    <row r="38" spans="1:15" ht="20.100000000000001" customHeight="1" x14ac:dyDescent="0.2">
      <c r="A38" s="8">
        <v>37</v>
      </c>
      <c r="B38" s="9">
        <f>[1]首页经验!D38</f>
        <v>0.72</v>
      </c>
      <c r="C38" s="9">
        <f t="shared" si="1"/>
        <v>237560</v>
      </c>
      <c r="D38" s="9">
        <f>SUM($C$2:C38)</f>
        <v>2929250</v>
      </c>
      <c r="E38" s="9">
        <f>(H38+N38)*$R$4</f>
        <v>248000</v>
      </c>
      <c r="F38" s="9">
        <f>怪物金币!B38</f>
        <v>118</v>
      </c>
      <c r="G38" s="9">
        <f t="shared" si="0"/>
        <v>590</v>
      </c>
      <c r="H38" s="9">
        <f>ROUND(G38*$R$2,0)</f>
        <v>89</v>
      </c>
      <c r="I38" s="9">
        <f>任务金币!D38</f>
        <v>5</v>
      </c>
      <c r="J38" s="9">
        <f>I38*任务金币!C38</f>
        <v>11800</v>
      </c>
      <c r="L38" s="9">
        <v>1</v>
      </c>
      <c r="M38" s="9">
        <f>ROUND(F38*L38,0)</f>
        <v>118</v>
      </c>
      <c r="N38" s="9">
        <f>ROUND(M38*$R$3,0)</f>
        <v>35</v>
      </c>
      <c r="O38" s="9">
        <v>0.1</v>
      </c>
    </row>
    <row r="39" spans="1:15" ht="20.100000000000001" customHeight="1" x14ac:dyDescent="0.2">
      <c r="A39" s="8">
        <v>38</v>
      </c>
      <c r="B39" s="9">
        <f>[1]首页经验!D39</f>
        <v>0.76</v>
      </c>
      <c r="C39" s="9">
        <f t="shared" si="1"/>
        <v>253540</v>
      </c>
      <c r="D39" s="9">
        <f>SUM($C$2:C39)</f>
        <v>3182790</v>
      </c>
      <c r="E39" s="9">
        <f>(H39+N39)*$R$4</f>
        <v>254000</v>
      </c>
      <c r="F39" s="9">
        <f>怪物金币!B39</f>
        <v>121</v>
      </c>
      <c r="G39" s="9">
        <f t="shared" si="0"/>
        <v>605</v>
      </c>
      <c r="H39" s="9">
        <f>ROUND(G39*$R$2,0)</f>
        <v>91</v>
      </c>
      <c r="I39" s="9">
        <f>任务金币!D39</f>
        <v>5</v>
      </c>
      <c r="J39" s="9">
        <f>I39*任务金币!C39</f>
        <v>12100</v>
      </c>
      <c r="L39" s="9">
        <v>1</v>
      </c>
      <c r="M39" s="9">
        <f>ROUND(F39*L39,0)</f>
        <v>121</v>
      </c>
      <c r="N39" s="9">
        <f>ROUND(M39*$R$3,0)</f>
        <v>36</v>
      </c>
      <c r="O39" s="9">
        <v>0.1</v>
      </c>
    </row>
    <row r="40" spans="1:15" ht="20.100000000000001" customHeight="1" x14ac:dyDescent="0.2">
      <c r="A40" s="8">
        <v>39</v>
      </c>
      <c r="B40" s="9">
        <f>[1]首页经验!D40</f>
        <v>0.8</v>
      </c>
      <c r="C40" s="9">
        <f t="shared" si="1"/>
        <v>270000</v>
      </c>
      <c r="D40" s="9">
        <f>SUM($C$2:C40)</f>
        <v>3452790</v>
      </c>
      <c r="E40" s="9">
        <f>(H40+N40)*$R$4</f>
        <v>260000</v>
      </c>
      <c r="F40" s="9">
        <f>怪物金币!B40</f>
        <v>124</v>
      </c>
      <c r="G40" s="9">
        <f t="shared" si="0"/>
        <v>620</v>
      </c>
      <c r="H40" s="9">
        <f>ROUND(G40*$R$2,0)</f>
        <v>93</v>
      </c>
      <c r="I40" s="9">
        <f>任务金币!D40</f>
        <v>5</v>
      </c>
      <c r="J40" s="9">
        <f>I40*任务金币!C40</f>
        <v>12400</v>
      </c>
      <c r="L40" s="9">
        <v>1</v>
      </c>
      <c r="M40" s="9">
        <f>ROUND(F40*L40,0)</f>
        <v>124</v>
      </c>
      <c r="N40" s="9">
        <f>ROUND(M40*$R$3,0)</f>
        <v>37</v>
      </c>
      <c r="O40" s="9">
        <v>0.1</v>
      </c>
    </row>
    <row r="41" spans="1:15" ht="20.100000000000001" customHeight="1" x14ac:dyDescent="0.2">
      <c r="A41" s="8">
        <v>40</v>
      </c>
      <c r="B41" s="9">
        <f>[1]首页经验!D41</f>
        <v>0.84</v>
      </c>
      <c r="C41" s="9">
        <f t="shared" si="1"/>
        <v>286940</v>
      </c>
      <c r="D41" s="9">
        <f>SUM($C$2:C41)</f>
        <v>3739730</v>
      </c>
      <c r="E41" s="9">
        <f>(H41+N41)*$R$4</f>
        <v>266000</v>
      </c>
      <c r="F41" s="9">
        <f>怪物金币!B41</f>
        <v>127</v>
      </c>
      <c r="G41" s="9">
        <f t="shared" si="0"/>
        <v>635</v>
      </c>
      <c r="H41" s="9">
        <f>ROUND(G41*$R$2,0)</f>
        <v>95</v>
      </c>
      <c r="I41" s="9">
        <f>任务金币!D41</f>
        <v>5</v>
      </c>
      <c r="J41" s="9">
        <f>I41*任务金币!C41</f>
        <v>12700</v>
      </c>
      <c r="L41" s="9">
        <v>1</v>
      </c>
      <c r="M41" s="9">
        <f>ROUND(F41*L41,0)</f>
        <v>127</v>
      </c>
      <c r="N41" s="9">
        <f>ROUND(M41*$R$3,0)</f>
        <v>38</v>
      </c>
      <c r="O41" s="9">
        <v>0.1</v>
      </c>
    </row>
    <row r="42" spans="1:15" ht="20.100000000000001" customHeight="1" x14ac:dyDescent="0.2">
      <c r="A42" s="8">
        <v>41</v>
      </c>
      <c r="B42" s="9">
        <f>[1]首页经验!D42</f>
        <v>0.88</v>
      </c>
      <c r="C42" s="9">
        <f t="shared" si="1"/>
        <v>306120</v>
      </c>
      <c r="D42" s="9">
        <f>SUM($C$2:C42)</f>
        <v>4045850</v>
      </c>
      <c r="E42" s="9">
        <f>(H42+N42)*$R$4</f>
        <v>274000</v>
      </c>
      <c r="F42" s="9">
        <f>怪物金币!B42</f>
        <v>130</v>
      </c>
      <c r="G42" s="9">
        <f t="shared" si="0"/>
        <v>650</v>
      </c>
      <c r="H42" s="9">
        <f>ROUND(G42*$R$2,0)</f>
        <v>98</v>
      </c>
      <c r="I42" s="9">
        <f>任务金币!D42</f>
        <v>5</v>
      </c>
      <c r="J42" s="9">
        <f>I42*任务金币!C42</f>
        <v>13000</v>
      </c>
      <c r="L42" s="9">
        <v>1</v>
      </c>
      <c r="M42" s="9">
        <f>ROUND(F42*L42,0)</f>
        <v>130</v>
      </c>
      <c r="N42" s="9">
        <f>ROUND(M42*$R$3,0)</f>
        <v>39</v>
      </c>
      <c r="O42" s="9">
        <v>0.1</v>
      </c>
    </row>
    <row r="43" spans="1:15" ht="20.100000000000001" customHeight="1" x14ac:dyDescent="0.2">
      <c r="A43" s="8">
        <v>42</v>
      </c>
      <c r="B43" s="9">
        <f>[1]首页经验!D43</f>
        <v>0.92</v>
      </c>
      <c r="C43" s="9">
        <f t="shared" si="1"/>
        <v>324100</v>
      </c>
      <c r="D43" s="9">
        <f>SUM($C$2:C43)</f>
        <v>4369950</v>
      </c>
      <c r="E43" s="9">
        <f>(H43+N43)*$R$4</f>
        <v>280000</v>
      </c>
      <c r="F43" s="9">
        <f>怪物金币!B43</f>
        <v>133</v>
      </c>
      <c r="G43" s="9">
        <f t="shared" si="0"/>
        <v>665</v>
      </c>
      <c r="H43" s="9">
        <f>ROUND(G43*$R$2,0)</f>
        <v>100</v>
      </c>
      <c r="I43" s="9">
        <f>任务金币!D43</f>
        <v>5</v>
      </c>
      <c r="J43" s="9">
        <f>I43*任务金币!C43</f>
        <v>13300</v>
      </c>
      <c r="L43" s="9">
        <v>1</v>
      </c>
      <c r="M43" s="9">
        <f>ROUND(F43*L43,0)</f>
        <v>133</v>
      </c>
      <c r="N43" s="9">
        <f>ROUND(M43*$R$3,0)</f>
        <v>40</v>
      </c>
      <c r="O43" s="9">
        <v>0.1</v>
      </c>
    </row>
    <row r="44" spans="1:15" ht="20.100000000000001" customHeight="1" x14ac:dyDescent="0.2">
      <c r="A44" s="8">
        <v>43</v>
      </c>
      <c r="B44" s="9">
        <f>[1]首页经验!D44</f>
        <v>0.96</v>
      </c>
      <c r="C44" s="9">
        <f t="shared" si="1"/>
        <v>342560</v>
      </c>
      <c r="D44" s="9">
        <f>SUM($C$2:C44)</f>
        <v>4712510</v>
      </c>
      <c r="E44" s="9">
        <f>(H44+N44)*$R$4</f>
        <v>286000</v>
      </c>
      <c r="F44" s="9">
        <f>怪物金币!B44</f>
        <v>136</v>
      </c>
      <c r="G44" s="9">
        <f t="shared" si="0"/>
        <v>680</v>
      </c>
      <c r="H44" s="9">
        <f>ROUND(G44*$R$2,0)</f>
        <v>102</v>
      </c>
      <c r="I44" s="9">
        <f>任务金币!D44</f>
        <v>5</v>
      </c>
      <c r="J44" s="9">
        <f>I44*任务金币!C44</f>
        <v>13600</v>
      </c>
      <c r="L44" s="9">
        <v>1</v>
      </c>
      <c r="M44" s="9">
        <f>ROUND(F44*L44,0)</f>
        <v>136</v>
      </c>
      <c r="N44" s="9">
        <f>ROUND(M44*$R$3,0)</f>
        <v>41</v>
      </c>
      <c r="O44" s="9">
        <v>0.1</v>
      </c>
    </row>
    <row r="45" spans="1:15" ht="20.100000000000001" customHeight="1" x14ac:dyDescent="0.2">
      <c r="A45" s="8">
        <v>44</v>
      </c>
      <c r="B45" s="9">
        <f>[1]首页经验!D45</f>
        <v>1</v>
      </c>
      <c r="C45" s="9">
        <f t="shared" si="1"/>
        <v>361500</v>
      </c>
      <c r="D45" s="9">
        <f>SUM($C$2:C45)</f>
        <v>5074010</v>
      </c>
      <c r="E45" s="9">
        <f>(H45+N45)*$R$4</f>
        <v>292000</v>
      </c>
      <c r="F45" s="9">
        <f>怪物金币!B45</f>
        <v>139</v>
      </c>
      <c r="G45" s="9">
        <f t="shared" si="0"/>
        <v>695</v>
      </c>
      <c r="H45" s="9">
        <f>ROUND(G45*$R$2,0)</f>
        <v>104</v>
      </c>
      <c r="I45" s="9">
        <f>任务金币!D45</f>
        <v>5</v>
      </c>
      <c r="J45" s="9">
        <f>I45*任务金币!C45</f>
        <v>13900</v>
      </c>
      <c r="L45" s="9">
        <v>1</v>
      </c>
      <c r="M45" s="9">
        <f>ROUND(F45*L45,0)</f>
        <v>139</v>
      </c>
      <c r="N45" s="9">
        <f>ROUND(M45*$R$3,0)</f>
        <v>42</v>
      </c>
      <c r="O45" s="9">
        <v>0.1</v>
      </c>
    </row>
    <row r="46" spans="1:15" ht="20.100000000000001" customHeight="1" x14ac:dyDescent="0.2">
      <c r="A46" s="8">
        <v>45</v>
      </c>
      <c r="B46" s="9">
        <f>[1]首页经验!D46</f>
        <v>1.05</v>
      </c>
      <c r="C46" s="9">
        <f t="shared" si="1"/>
        <v>386000</v>
      </c>
      <c r="D46" s="9">
        <f>SUM($C$2:C46)</f>
        <v>5460010</v>
      </c>
      <c r="E46" s="9">
        <f>(H46+N46)*$R$4</f>
        <v>300000</v>
      </c>
      <c r="F46" s="9">
        <f>怪物金币!B46</f>
        <v>142</v>
      </c>
      <c r="G46" s="9">
        <f t="shared" si="0"/>
        <v>710</v>
      </c>
      <c r="H46" s="9">
        <f>ROUND(G46*$R$2,0)</f>
        <v>107</v>
      </c>
      <c r="I46" s="9">
        <f>任务金币!D46</f>
        <v>5</v>
      </c>
      <c r="J46" s="9">
        <f>I46*任务金币!C46</f>
        <v>14200</v>
      </c>
      <c r="L46" s="9">
        <v>1</v>
      </c>
      <c r="M46" s="9">
        <f>ROUND(F46*L46,0)</f>
        <v>142</v>
      </c>
      <c r="N46" s="9">
        <f>ROUND(M46*$R$3,0)</f>
        <v>43</v>
      </c>
      <c r="O46" s="9">
        <v>0.1</v>
      </c>
    </row>
    <row r="47" spans="1:15" ht="20.100000000000001" customHeight="1" x14ac:dyDescent="0.2">
      <c r="A47" s="8">
        <v>46</v>
      </c>
      <c r="B47" s="9">
        <f>[1]首页经验!D47</f>
        <v>1.1000000000000001</v>
      </c>
      <c r="C47" s="9">
        <f t="shared" si="1"/>
        <v>409100</v>
      </c>
      <c r="D47" s="9">
        <f>SUM($C$2:C47)</f>
        <v>5869110</v>
      </c>
      <c r="E47" s="9">
        <f>(H47+N47)*$R$4</f>
        <v>306000</v>
      </c>
      <c r="F47" s="9">
        <f>怪物金币!B47</f>
        <v>145</v>
      </c>
      <c r="G47" s="9">
        <f t="shared" si="0"/>
        <v>725</v>
      </c>
      <c r="H47" s="9">
        <f>ROUND(G47*$R$2,0)</f>
        <v>109</v>
      </c>
      <c r="I47" s="9">
        <f>任务金币!D47</f>
        <v>5</v>
      </c>
      <c r="J47" s="9">
        <f>I47*任务金币!C47</f>
        <v>14500</v>
      </c>
      <c r="L47" s="9">
        <v>1</v>
      </c>
      <c r="M47" s="9">
        <f>ROUND(F47*L47,0)</f>
        <v>145</v>
      </c>
      <c r="N47" s="9">
        <f>ROUND(M47*$R$3,0)</f>
        <v>44</v>
      </c>
      <c r="O47" s="9">
        <v>0.1</v>
      </c>
    </row>
    <row r="48" spans="1:15" ht="20.100000000000001" customHeight="1" x14ac:dyDescent="0.2">
      <c r="A48" s="8">
        <v>47</v>
      </c>
      <c r="B48" s="9">
        <f>[1]首页经验!D48</f>
        <v>1.1499999999999999</v>
      </c>
      <c r="C48" s="9">
        <f t="shared" si="1"/>
        <v>430500</v>
      </c>
      <c r="D48" s="9">
        <f>SUM($C$2:C48)</f>
        <v>6299610</v>
      </c>
      <c r="E48" s="9">
        <f>(H48+N48)*$R$4</f>
        <v>310000</v>
      </c>
      <c r="F48" s="9">
        <f>怪物金币!B48</f>
        <v>148</v>
      </c>
      <c r="G48" s="9">
        <f t="shared" si="0"/>
        <v>740</v>
      </c>
      <c r="H48" s="9">
        <f>ROUND(G48*$R$2,0)</f>
        <v>111</v>
      </c>
      <c r="I48" s="9">
        <f>任务金币!D48</f>
        <v>5</v>
      </c>
      <c r="J48" s="9">
        <f>I48*任务金币!C48</f>
        <v>14800</v>
      </c>
      <c r="L48" s="9">
        <v>1</v>
      </c>
      <c r="M48" s="9">
        <f>ROUND(F48*L48,0)</f>
        <v>148</v>
      </c>
      <c r="N48" s="9">
        <f>ROUND(M48*$R$3,0)</f>
        <v>44</v>
      </c>
      <c r="O48" s="9">
        <v>0.1</v>
      </c>
    </row>
    <row r="49" spans="1:15" ht="20.100000000000001" customHeight="1" x14ac:dyDescent="0.2">
      <c r="A49" s="8">
        <v>48</v>
      </c>
      <c r="B49" s="9">
        <f>[1]首页经验!D49</f>
        <v>1.2</v>
      </c>
      <c r="C49" s="9">
        <f t="shared" si="1"/>
        <v>454700</v>
      </c>
      <c r="D49" s="9">
        <f>SUM($C$2:C49)</f>
        <v>6754310</v>
      </c>
      <c r="E49" s="9">
        <f>(H49+N49)*$R$4</f>
        <v>316000</v>
      </c>
      <c r="F49" s="9">
        <f>怪物金币!B49</f>
        <v>151</v>
      </c>
      <c r="G49" s="9">
        <f t="shared" si="0"/>
        <v>755</v>
      </c>
      <c r="H49" s="9">
        <f>ROUND(G49*$R$2,0)</f>
        <v>113</v>
      </c>
      <c r="I49" s="9">
        <f>任务金币!D49</f>
        <v>5</v>
      </c>
      <c r="J49" s="9">
        <f>I49*任务金币!C49</f>
        <v>15100</v>
      </c>
      <c r="L49" s="9">
        <v>1</v>
      </c>
      <c r="M49" s="9">
        <f>ROUND(F49*L49,0)</f>
        <v>151</v>
      </c>
      <c r="N49" s="9">
        <f>ROUND(M49*$R$3,0)</f>
        <v>45</v>
      </c>
      <c r="O49" s="9">
        <v>0.1</v>
      </c>
    </row>
    <row r="50" spans="1:15" ht="20.100000000000001" customHeight="1" x14ac:dyDescent="0.2">
      <c r="A50" s="8">
        <v>49</v>
      </c>
      <c r="B50" s="9">
        <f>[1]首页经验!D50</f>
        <v>1.25</v>
      </c>
      <c r="C50" s="9">
        <f t="shared" si="1"/>
        <v>482000</v>
      </c>
      <c r="D50" s="9">
        <f>SUM($C$2:C50)</f>
        <v>7236310</v>
      </c>
      <c r="E50" s="9">
        <f>(H50+N50)*$R$4</f>
        <v>324000</v>
      </c>
      <c r="F50" s="9">
        <f>怪物金币!B50</f>
        <v>154</v>
      </c>
      <c r="G50" s="9">
        <f t="shared" si="0"/>
        <v>770</v>
      </c>
      <c r="H50" s="9">
        <f>ROUND(G50*$R$2,0)</f>
        <v>116</v>
      </c>
      <c r="I50" s="9">
        <f>任务金币!D50</f>
        <v>5</v>
      </c>
      <c r="J50" s="9">
        <f>I50*任务金币!C50</f>
        <v>15400</v>
      </c>
      <c r="L50" s="9">
        <v>1</v>
      </c>
      <c r="M50" s="9">
        <f>ROUND(F50*L50,0)</f>
        <v>154</v>
      </c>
      <c r="N50" s="9">
        <f>ROUND(M50*$R$3,0)</f>
        <v>46</v>
      </c>
      <c r="O50" s="9">
        <v>0.1</v>
      </c>
    </row>
    <row r="51" spans="1:15" ht="20.100000000000001" customHeight="1" x14ac:dyDescent="0.2">
      <c r="A51" s="8">
        <v>50</v>
      </c>
      <c r="B51" s="9">
        <f>[1]首页经验!D51</f>
        <v>1.3</v>
      </c>
      <c r="C51" s="9">
        <f t="shared" si="1"/>
        <v>507500</v>
      </c>
      <c r="D51" s="9">
        <f>SUM($C$2:C51)</f>
        <v>7743810</v>
      </c>
      <c r="E51" s="9">
        <f>(H51+N51)*$R$4</f>
        <v>330000</v>
      </c>
      <c r="F51" s="9">
        <f>怪物金币!B51</f>
        <v>157</v>
      </c>
      <c r="G51" s="9">
        <f t="shared" si="0"/>
        <v>785</v>
      </c>
      <c r="H51" s="9">
        <f>ROUND(G51*$R$2,0)</f>
        <v>118</v>
      </c>
      <c r="I51" s="9">
        <f>任务金币!D51</f>
        <v>5</v>
      </c>
      <c r="J51" s="9">
        <f>I51*任务金币!C51</f>
        <v>15700</v>
      </c>
      <c r="L51" s="9">
        <v>1</v>
      </c>
      <c r="M51" s="9">
        <f>ROUND(F51*L51,0)</f>
        <v>157</v>
      </c>
      <c r="N51" s="9">
        <f>ROUND(M51*$R$3,0)</f>
        <v>47</v>
      </c>
      <c r="O51" s="9">
        <v>0.1</v>
      </c>
    </row>
    <row r="52" spans="1:15" ht="20.100000000000001" customHeight="1" x14ac:dyDescent="0.2">
      <c r="A52" s="8">
        <v>51</v>
      </c>
      <c r="B52" s="9">
        <f>[1]首页经验!D52</f>
        <v>1.35</v>
      </c>
      <c r="C52" s="9">
        <f t="shared" si="1"/>
        <v>533600</v>
      </c>
      <c r="D52" s="9">
        <f>SUM($C$2:C52)</f>
        <v>8277410</v>
      </c>
      <c r="E52" s="9">
        <f>(H52+N52)*$R$4</f>
        <v>336000</v>
      </c>
      <c r="F52" s="9">
        <f>怪物金币!B52</f>
        <v>160</v>
      </c>
      <c r="G52" s="9">
        <f t="shared" si="0"/>
        <v>800</v>
      </c>
      <c r="H52" s="9">
        <f>ROUND(G52*$R$2,0)</f>
        <v>120</v>
      </c>
      <c r="I52" s="9">
        <f>任务金币!D52</f>
        <v>5</v>
      </c>
      <c r="J52" s="9">
        <f>I52*任务金币!C52</f>
        <v>16000</v>
      </c>
      <c r="L52" s="9">
        <v>1</v>
      </c>
      <c r="M52" s="9">
        <f>ROUND(F52*L52,0)</f>
        <v>160</v>
      </c>
      <c r="N52" s="9">
        <f>ROUND(M52*$R$3,0)</f>
        <v>48</v>
      </c>
      <c r="O52" s="9">
        <v>0.1</v>
      </c>
    </row>
    <row r="53" spans="1:15" ht="20.100000000000001" customHeight="1" x14ac:dyDescent="0.2">
      <c r="A53" s="8">
        <v>52</v>
      </c>
      <c r="B53" s="9">
        <f>[1]首页经验!D53</f>
        <v>1.4</v>
      </c>
      <c r="C53" s="9">
        <f t="shared" si="1"/>
        <v>560300</v>
      </c>
      <c r="D53" s="9">
        <f>SUM($C$2:C53)</f>
        <v>8837710</v>
      </c>
      <c r="E53" s="9">
        <f>(H53+N53)*$R$4</f>
        <v>342000</v>
      </c>
      <c r="F53" s="9">
        <f>怪物金币!B53</f>
        <v>163</v>
      </c>
      <c r="G53" s="9">
        <f t="shared" si="0"/>
        <v>815</v>
      </c>
      <c r="H53" s="9">
        <f>ROUND(G53*$R$2,0)</f>
        <v>122</v>
      </c>
      <c r="I53" s="9">
        <f>任务金币!D53</f>
        <v>5</v>
      </c>
      <c r="J53" s="9">
        <f>I53*任务金币!C53</f>
        <v>16300</v>
      </c>
      <c r="L53" s="9">
        <v>1</v>
      </c>
      <c r="M53" s="9">
        <f>ROUND(F53*L53,0)</f>
        <v>163</v>
      </c>
      <c r="N53" s="9">
        <f>ROUND(M53*$R$3,0)</f>
        <v>49</v>
      </c>
      <c r="O53" s="9">
        <v>0.1</v>
      </c>
    </row>
    <row r="54" spans="1:15" ht="20.100000000000001" customHeight="1" x14ac:dyDescent="0.2">
      <c r="A54" s="8">
        <v>53</v>
      </c>
      <c r="B54" s="9">
        <f>[1]首页经验!D54</f>
        <v>1.45</v>
      </c>
      <c r="C54" s="9">
        <f t="shared" si="1"/>
        <v>590500</v>
      </c>
      <c r="D54" s="9">
        <f>SUM($C$2:C54)</f>
        <v>9428210</v>
      </c>
      <c r="E54" s="9">
        <f>(H54+N54)*$R$4</f>
        <v>350000</v>
      </c>
      <c r="F54" s="9">
        <f>怪物金币!B54</f>
        <v>166</v>
      </c>
      <c r="G54" s="9">
        <f t="shared" si="0"/>
        <v>830</v>
      </c>
      <c r="H54" s="9">
        <f>ROUND(G54*$R$2,0)</f>
        <v>125</v>
      </c>
      <c r="I54" s="9">
        <f>任务金币!D54</f>
        <v>5</v>
      </c>
      <c r="J54" s="9">
        <f>I54*任务金币!C54</f>
        <v>16600</v>
      </c>
      <c r="L54" s="9">
        <v>1</v>
      </c>
      <c r="M54" s="9">
        <f>ROUND(F54*L54,0)</f>
        <v>166</v>
      </c>
      <c r="N54" s="9">
        <f>ROUND(M54*$R$3,0)</f>
        <v>50</v>
      </c>
      <c r="O54" s="9">
        <v>0.1</v>
      </c>
    </row>
    <row r="55" spans="1:15" ht="20.100000000000001" customHeight="1" x14ac:dyDescent="0.2">
      <c r="A55" s="8">
        <v>54</v>
      </c>
      <c r="B55" s="9">
        <f>[1]首页经验!D55</f>
        <v>1.5</v>
      </c>
      <c r="C55" s="9">
        <f t="shared" si="1"/>
        <v>618500</v>
      </c>
      <c r="D55" s="9">
        <f>SUM($C$2:C55)</f>
        <v>10046710</v>
      </c>
      <c r="E55" s="9">
        <f>(H55+N55)*$R$4</f>
        <v>356000</v>
      </c>
      <c r="F55" s="9">
        <f>怪物金币!B55</f>
        <v>169</v>
      </c>
      <c r="G55" s="9">
        <f t="shared" si="0"/>
        <v>845</v>
      </c>
      <c r="H55" s="9">
        <f>ROUND(G55*$R$2,0)</f>
        <v>127</v>
      </c>
      <c r="I55" s="9">
        <f>任务金币!D55</f>
        <v>5</v>
      </c>
      <c r="J55" s="9">
        <f>I55*任务金币!C55</f>
        <v>16900</v>
      </c>
      <c r="L55" s="9">
        <v>1</v>
      </c>
      <c r="M55" s="9">
        <f>ROUND(F55*L55,0)</f>
        <v>169</v>
      </c>
      <c r="N55" s="9">
        <f>ROUND(M55*$R$3,0)</f>
        <v>51</v>
      </c>
      <c r="O55" s="9">
        <v>0.1</v>
      </c>
    </row>
    <row r="56" spans="1:15" ht="20.100000000000001" customHeight="1" x14ac:dyDescent="0.2">
      <c r="A56" s="8">
        <v>55</v>
      </c>
      <c r="B56" s="9">
        <f>[1]首页经验!D56</f>
        <v>1.56</v>
      </c>
      <c r="C56" s="9">
        <f t="shared" si="1"/>
        <v>650720</v>
      </c>
      <c r="D56" s="9">
        <f>SUM($C$2:C56)</f>
        <v>10697430</v>
      </c>
      <c r="E56" s="9">
        <f>(H56+N56)*$R$4</f>
        <v>362000</v>
      </c>
      <c r="F56" s="9">
        <f>怪物金币!B56</f>
        <v>172</v>
      </c>
      <c r="G56" s="9">
        <f t="shared" si="0"/>
        <v>860</v>
      </c>
      <c r="H56" s="9">
        <f>ROUND(G56*$R$2,0)</f>
        <v>129</v>
      </c>
      <c r="I56" s="9">
        <f>任务金币!D56</f>
        <v>5</v>
      </c>
      <c r="J56" s="9">
        <f>I56*任务金币!C56</f>
        <v>17200</v>
      </c>
      <c r="L56" s="9">
        <v>1</v>
      </c>
      <c r="M56" s="9">
        <f>ROUND(F56*L56,0)</f>
        <v>172</v>
      </c>
      <c r="N56" s="9">
        <f>ROUND(M56*$R$3,0)</f>
        <v>52</v>
      </c>
      <c r="O56" s="9">
        <v>0.1</v>
      </c>
    </row>
    <row r="57" spans="1:15" ht="20.100000000000001" customHeight="1" x14ac:dyDescent="0.2">
      <c r="A57" s="8">
        <v>56</v>
      </c>
      <c r="B57" s="9">
        <f>[1]首页经验!D57</f>
        <v>1.62</v>
      </c>
      <c r="C57" s="9">
        <f t="shared" si="1"/>
        <v>683660</v>
      </c>
      <c r="D57" s="9">
        <f>SUM($C$2:C57)</f>
        <v>11381090</v>
      </c>
      <c r="E57" s="9">
        <f>(H57+N57)*$R$4</f>
        <v>368000</v>
      </c>
      <c r="F57" s="9">
        <f>怪物金币!B57</f>
        <v>175</v>
      </c>
      <c r="G57" s="9">
        <f t="shared" si="0"/>
        <v>875</v>
      </c>
      <c r="H57" s="9">
        <f>ROUND(G57*$R$2,0)</f>
        <v>131</v>
      </c>
      <c r="I57" s="9">
        <f>任务金币!D57</f>
        <v>5</v>
      </c>
      <c r="J57" s="9">
        <f>I57*任务金币!C57</f>
        <v>17500</v>
      </c>
      <c r="L57" s="9">
        <v>1</v>
      </c>
      <c r="M57" s="9">
        <f>ROUND(F57*L57,0)</f>
        <v>175</v>
      </c>
      <c r="N57" s="9">
        <f>ROUND(M57*$R$3,0)</f>
        <v>53</v>
      </c>
      <c r="O57" s="9">
        <v>0.1</v>
      </c>
    </row>
    <row r="58" spans="1:15" ht="20.100000000000001" customHeight="1" x14ac:dyDescent="0.2">
      <c r="A58" s="8">
        <v>57</v>
      </c>
      <c r="B58" s="9">
        <f>[1]首页经验!D58</f>
        <v>1.68</v>
      </c>
      <c r="C58" s="9">
        <f t="shared" si="1"/>
        <v>717320</v>
      </c>
      <c r="D58" s="9">
        <f>SUM($C$2:C58)</f>
        <v>12098410</v>
      </c>
      <c r="E58" s="9">
        <f>(H58+N58)*$R$4</f>
        <v>374000</v>
      </c>
      <c r="F58" s="9">
        <f>怪物金币!B58</f>
        <v>178</v>
      </c>
      <c r="G58" s="9">
        <f t="shared" si="0"/>
        <v>890</v>
      </c>
      <c r="H58" s="9">
        <f>ROUND(G58*$R$2,0)</f>
        <v>134</v>
      </c>
      <c r="I58" s="9">
        <f>任务金币!D58</f>
        <v>5</v>
      </c>
      <c r="J58" s="9">
        <f>I58*任务金币!C58</f>
        <v>17800</v>
      </c>
      <c r="L58" s="9">
        <v>1</v>
      </c>
      <c r="M58" s="9">
        <f>ROUND(F58*L58,0)</f>
        <v>178</v>
      </c>
      <c r="N58" s="9">
        <f>ROUND(M58*$R$3,0)</f>
        <v>53</v>
      </c>
      <c r="O58" s="9">
        <v>0.1</v>
      </c>
    </row>
    <row r="59" spans="1:15" ht="20.100000000000001" customHeight="1" x14ac:dyDescent="0.2">
      <c r="A59" s="8">
        <v>58</v>
      </c>
      <c r="B59" s="9">
        <f>[1]首页经验!D59</f>
        <v>1.74</v>
      </c>
      <c r="C59" s="9">
        <f t="shared" si="1"/>
        <v>751700</v>
      </c>
      <c r="D59" s="9">
        <f>SUM($C$2:C59)</f>
        <v>12850110</v>
      </c>
      <c r="E59" s="9">
        <f>(H59+N59)*$R$4</f>
        <v>380000</v>
      </c>
      <c r="F59" s="9">
        <f>怪物金币!B59</f>
        <v>181</v>
      </c>
      <c r="G59" s="9">
        <f t="shared" si="0"/>
        <v>905</v>
      </c>
      <c r="H59" s="9">
        <f>ROUND(G59*$R$2,0)</f>
        <v>136</v>
      </c>
      <c r="I59" s="9">
        <f>任务金币!D59</f>
        <v>5</v>
      </c>
      <c r="J59" s="9">
        <f>I59*任务金币!C59</f>
        <v>18100</v>
      </c>
      <c r="L59" s="9">
        <v>1</v>
      </c>
      <c r="M59" s="9">
        <f>ROUND(F59*L59,0)</f>
        <v>181</v>
      </c>
      <c r="N59" s="9">
        <f>ROUND(M59*$R$3,0)</f>
        <v>54</v>
      </c>
      <c r="O59" s="9">
        <v>0.1</v>
      </c>
    </row>
    <row r="60" spans="1:15" ht="20.100000000000001" customHeight="1" x14ac:dyDescent="0.2">
      <c r="A60" s="8">
        <v>59</v>
      </c>
      <c r="B60" s="9">
        <f>[1]首页经验!D60</f>
        <v>1.8</v>
      </c>
      <c r="C60" s="9">
        <f t="shared" si="1"/>
        <v>786800</v>
      </c>
      <c r="D60" s="9">
        <f>SUM($C$2:C60)</f>
        <v>13636910</v>
      </c>
      <c r="E60" s="9">
        <f>(H60+N60)*$R$4</f>
        <v>386000</v>
      </c>
      <c r="F60" s="9">
        <f>怪物金币!B60</f>
        <v>184</v>
      </c>
      <c r="G60" s="9">
        <f t="shared" si="0"/>
        <v>920</v>
      </c>
      <c r="H60" s="9">
        <f>ROUND(G60*$R$2,0)</f>
        <v>138</v>
      </c>
      <c r="I60" s="9">
        <f>任务金币!D60</f>
        <v>5</v>
      </c>
      <c r="J60" s="9">
        <f>I60*任务金币!C60</f>
        <v>18400</v>
      </c>
      <c r="L60" s="9">
        <v>1</v>
      </c>
      <c r="M60" s="9">
        <f>ROUND(F60*L60,0)</f>
        <v>184</v>
      </c>
      <c r="N60" s="9">
        <f>ROUND(M60*$R$3,0)</f>
        <v>55</v>
      </c>
      <c r="O60" s="9">
        <v>0.1</v>
      </c>
    </row>
    <row r="61" spans="1:15" ht="20.100000000000001" customHeight="1" x14ac:dyDescent="0.2">
      <c r="A61" s="8">
        <v>60</v>
      </c>
      <c r="B61" s="9">
        <f>[1]首页经验!D61</f>
        <v>1.86</v>
      </c>
      <c r="C61" s="9">
        <f t="shared" si="1"/>
        <v>822620</v>
      </c>
      <c r="D61" s="9">
        <f>SUM($C$2:C61)</f>
        <v>14459530</v>
      </c>
      <c r="E61" s="9">
        <f>(H61+N61)*$R$4</f>
        <v>392000</v>
      </c>
      <c r="F61" s="9">
        <f>怪物金币!B61</f>
        <v>187</v>
      </c>
      <c r="G61" s="9">
        <f t="shared" si="0"/>
        <v>935</v>
      </c>
      <c r="H61" s="9">
        <f>ROUND(G61*$R$2,0)</f>
        <v>140</v>
      </c>
      <c r="I61" s="9">
        <f>任务金币!D61</f>
        <v>5</v>
      </c>
      <c r="J61" s="9">
        <f>I61*任务金币!C61</f>
        <v>18700</v>
      </c>
      <c r="L61" s="9">
        <v>1</v>
      </c>
      <c r="M61" s="9">
        <f>ROUND(F61*L61,0)</f>
        <v>187</v>
      </c>
      <c r="N61" s="9">
        <f>ROUND(M61*$R$3,0)</f>
        <v>56</v>
      </c>
      <c r="O61" s="9">
        <v>0.1</v>
      </c>
    </row>
    <row r="62" spans="1:15" ht="20.100000000000001" customHeight="1" x14ac:dyDescent="0.2">
      <c r="A62" s="8">
        <v>61</v>
      </c>
      <c r="B62" s="9">
        <f>[1]首页经验!D62</f>
        <v>1.92</v>
      </c>
      <c r="C62" s="9">
        <f t="shared" si="1"/>
        <v>863000</v>
      </c>
      <c r="D62" s="9">
        <f>SUM($C$2:C62)</f>
        <v>15322530</v>
      </c>
      <c r="E62" s="9">
        <f>(H62+N62)*$R$4</f>
        <v>400000</v>
      </c>
      <c r="F62" s="9">
        <f>怪物金币!B62</f>
        <v>190</v>
      </c>
      <c r="G62" s="9">
        <f t="shared" si="0"/>
        <v>950</v>
      </c>
      <c r="H62" s="9">
        <f>ROUND(G62*$R$2,0)</f>
        <v>143</v>
      </c>
      <c r="I62" s="9">
        <f>任务金币!D62</f>
        <v>5</v>
      </c>
      <c r="J62" s="9">
        <f>I62*任务金币!C62</f>
        <v>19000</v>
      </c>
      <c r="L62" s="9">
        <v>1</v>
      </c>
      <c r="M62" s="9">
        <f>ROUND(F62*L62,0)</f>
        <v>190</v>
      </c>
      <c r="N62" s="9">
        <f>ROUND(M62*$R$3,0)</f>
        <v>57</v>
      </c>
      <c r="O62" s="9">
        <v>0.1</v>
      </c>
    </row>
    <row r="63" spans="1:15" ht="20.100000000000001" customHeight="1" x14ac:dyDescent="0.2">
      <c r="A63" s="8">
        <v>62</v>
      </c>
      <c r="B63" s="9">
        <f>[1]首页经验!D63</f>
        <v>1.98</v>
      </c>
      <c r="C63" s="9">
        <f t="shared" si="1"/>
        <v>900380</v>
      </c>
      <c r="D63" s="9">
        <f>SUM($C$2:C63)</f>
        <v>16222910</v>
      </c>
      <c r="E63" s="9">
        <f>(H63+N63)*$R$4</f>
        <v>406000</v>
      </c>
      <c r="F63" s="9">
        <f>怪物金币!B63</f>
        <v>193</v>
      </c>
      <c r="G63" s="9">
        <f t="shared" si="0"/>
        <v>965</v>
      </c>
      <c r="H63" s="9">
        <f>ROUND(G63*$R$2,0)</f>
        <v>145</v>
      </c>
      <c r="I63" s="9">
        <f>任务金币!D63</f>
        <v>5</v>
      </c>
      <c r="J63" s="9">
        <f>I63*任务金币!C63</f>
        <v>19300</v>
      </c>
      <c r="L63" s="9">
        <v>1</v>
      </c>
      <c r="M63" s="9">
        <f>ROUND(F63*L63,0)</f>
        <v>193</v>
      </c>
      <c r="N63" s="9">
        <f>ROUND(M63*$R$3,0)</f>
        <v>58</v>
      </c>
      <c r="O63" s="9">
        <v>0.1</v>
      </c>
    </row>
    <row r="64" spans="1:15" ht="20.100000000000001" customHeight="1" x14ac:dyDescent="0.2">
      <c r="A64" s="8">
        <v>63</v>
      </c>
      <c r="B64" s="9">
        <f>[1]首页经验!D64</f>
        <v>2.04</v>
      </c>
      <c r="C64" s="9">
        <f t="shared" si="1"/>
        <v>938480</v>
      </c>
      <c r="D64" s="9">
        <f>SUM($C$2:C64)</f>
        <v>17161390</v>
      </c>
      <c r="E64" s="9">
        <f>(H64+N64)*$R$4</f>
        <v>412000</v>
      </c>
      <c r="F64" s="9">
        <f>怪物金币!B64</f>
        <v>196</v>
      </c>
      <c r="G64" s="9">
        <f t="shared" si="0"/>
        <v>980</v>
      </c>
      <c r="H64" s="9">
        <f>ROUND(G64*$R$2,0)</f>
        <v>147</v>
      </c>
      <c r="I64" s="9">
        <f>任务金币!D64</f>
        <v>5</v>
      </c>
      <c r="J64" s="9">
        <f>I64*任务金币!C64</f>
        <v>19600</v>
      </c>
      <c r="L64" s="9">
        <v>1</v>
      </c>
      <c r="M64" s="9">
        <f>ROUND(F64*L64,0)</f>
        <v>196</v>
      </c>
      <c r="N64" s="9">
        <f>ROUND(M64*$R$3,0)</f>
        <v>59</v>
      </c>
      <c r="O64" s="9">
        <v>0.1</v>
      </c>
    </row>
    <row r="65" spans="1:15" ht="20.100000000000001" customHeight="1" x14ac:dyDescent="0.2">
      <c r="A65" s="8">
        <v>64</v>
      </c>
      <c r="B65" s="9">
        <f>[1]首页经验!D65</f>
        <v>2.1</v>
      </c>
      <c r="C65" s="9">
        <f t="shared" si="1"/>
        <v>977300</v>
      </c>
      <c r="D65" s="9">
        <f>SUM($C$2:C65)</f>
        <v>18138690</v>
      </c>
      <c r="E65" s="9">
        <f>(H65+N65)*$R$4</f>
        <v>418000</v>
      </c>
      <c r="F65" s="9">
        <f>怪物金币!B65</f>
        <v>199</v>
      </c>
      <c r="G65" s="9">
        <f t="shared" si="0"/>
        <v>995</v>
      </c>
      <c r="H65" s="9">
        <f>ROUND(G65*$R$2,0)</f>
        <v>149</v>
      </c>
      <c r="I65" s="9">
        <f>任务金币!D65</f>
        <v>5</v>
      </c>
      <c r="J65" s="9">
        <f>I65*任务金币!C65</f>
        <v>19900</v>
      </c>
      <c r="L65" s="9">
        <v>1</v>
      </c>
      <c r="M65" s="9">
        <f>ROUND(F65*L65,0)</f>
        <v>199</v>
      </c>
      <c r="N65" s="9">
        <f>ROUND(M65*$R$3,0)</f>
        <v>60</v>
      </c>
      <c r="O65" s="9">
        <v>0.1</v>
      </c>
    </row>
    <row r="66" spans="1:15" ht="20.100000000000001" customHeight="1" x14ac:dyDescent="0.2">
      <c r="A66" s="8">
        <v>65</v>
      </c>
      <c r="B66" s="9">
        <f>[1]首页经验!D66</f>
        <v>2.17</v>
      </c>
      <c r="C66" s="9">
        <f t="shared" si="1"/>
        <v>1025420</v>
      </c>
      <c r="D66" s="9">
        <f>SUM($C$2:C66)</f>
        <v>19164110</v>
      </c>
      <c r="E66" s="9">
        <f>(H66+N66)*$R$4</f>
        <v>426000</v>
      </c>
      <c r="F66" s="9">
        <f>怪物金币!B66</f>
        <v>202</v>
      </c>
      <c r="G66" s="9">
        <f t="shared" ref="G66" si="2">F66*5</f>
        <v>1010</v>
      </c>
      <c r="H66" s="9">
        <f>ROUND(G66*$R$2,0)</f>
        <v>152</v>
      </c>
      <c r="I66" s="9">
        <f>任务金币!D66</f>
        <v>5</v>
      </c>
      <c r="J66" s="9">
        <f>I66*任务金币!C66</f>
        <v>20200</v>
      </c>
      <c r="L66" s="9">
        <v>1</v>
      </c>
      <c r="M66" s="9">
        <f>ROUND(F66*L66,0)</f>
        <v>202</v>
      </c>
      <c r="N66" s="9">
        <f>ROUND(M66*$R$3,0)</f>
        <v>61</v>
      </c>
      <c r="O66" s="9">
        <v>0.1</v>
      </c>
    </row>
    <row r="67" spans="1:15" ht="20.100000000000001" customHeight="1" x14ac:dyDescent="0.2">
      <c r="A67" s="8">
        <v>66</v>
      </c>
      <c r="B67" s="9">
        <f>[1]首页经验!D67</f>
        <v>2.2400000000000002</v>
      </c>
      <c r="C67" s="9">
        <f t="shared" ref="C67:C71" si="3">E67*B67+J67*I67</f>
        <v>1070180</v>
      </c>
      <c r="D67" s="9">
        <f>SUM($C$2:C67)</f>
        <v>20234290</v>
      </c>
      <c r="E67" s="9">
        <f>(H67+N67)*$R$4</f>
        <v>432000</v>
      </c>
      <c r="F67" s="9">
        <f>怪物金币!B67</f>
        <v>205</v>
      </c>
      <c r="G67" s="9">
        <f t="shared" ref="G67:G71" si="4">F67*5</f>
        <v>1025</v>
      </c>
      <c r="H67" s="9">
        <f>ROUND(G67*$R$2,0)</f>
        <v>154</v>
      </c>
      <c r="I67" s="9">
        <f>任务金币!D67</f>
        <v>5</v>
      </c>
      <c r="J67" s="9">
        <f>I67*任务金币!C67</f>
        <v>20500</v>
      </c>
      <c r="L67" s="9">
        <v>1</v>
      </c>
      <c r="M67" s="9">
        <f>ROUND(F67*L67,0)</f>
        <v>205</v>
      </c>
      <c r="N67" s="9">
        <f>ROUND(M67*$R$3,0)</f>
        <v>62</v>
      </c>
      <c r="O67" s="9">
        <v>0.1</v>
      </c>
    </row>
    <row r="68" spans="1:15" ht="20.100000000000001" customHeight="1" x14ac:dyDescent="0.2">
      <c r="A68" s="8">
        <v>67</v>
      </c>
      <c r="B68" s="9">
        <f>[1]首页经验!D68</f>
        <v>2.31</v>
      </c>
      <c r="C68" s="9">
        <f t="shared" si="3"/>
        <v>1111160</v>
      </c>
      <c r="D68" s="9">
        <f>SUM($C$2:C68)</f>
        <v>21345450</v>
      </c>
      <c r="E68" s="9">
        <f>(H68+N68)*$R$4</f>
        <v>436000</v>
      </c>
      <c r="F68" s="9">
        <f>怪物金币!B68</f>
        <v>208</v>
      </c>
      <c r="G68" s="9">
        <f t="shared" si="4"/>
        <v>1040</v>
      </c>
      <c r="H68" s="9">
        <f>ROUND(G68*$R$2,0)</f>
        <v>156</v>
      </c>
      <c r="I68" s="9">
        <f>任务金币!D68</f>
        <v>5</v>
      </c>
      <c r="J68" s="9">
        <f>I68*任务金币!C68</f>
        <v>20800</v>
      </c>
      <c r="L68" s="9">
        <v>1</v>
      </c>
      <c r="M68" s="9">
        <f>ROUND(F68*L68,0)</f>
        <v>208</v>
      </c>
      <c r="N68" s="9">
        <f>ROUND(M68*$R$3,0)</f>
        <v>62</v>
      </c>
      <c r="O68" s="9">
        <v>0.1</v>
      </c>
    </row>
    <row r="69" spans="1:15" ht="20.100000000000001" customHeight="1" x14ac:dyDescent="0.2">
      <c r="A69" s="8">
        <v>68</v>
      </c>
      <c r="B69" s="9">
        <f>[1]首页经验!D69</f>
        <v>2.38</v>
      </c>
      <c r="C69" s="9">
        <f t="shared" si="3"/>
        <v>1157460</v>
      </c>
      <c r="D69" s="9">
        <f>SUM($C$2:C69)</f>
        <v>22502910</v>
      </c>
      <c r="E69" s="9">
        <f>(H69+N69)*$R$4</f>
        <v>442000</v>
      </c>
      <c r="F69" s="9">
        <f>怪物金币!B69</f>
        <v>211</v>
      </c>
      <c r="G69" s="9">
        <f t="shared" si="4"/>
        <v>1055</v>
      </c>
      <c r="H69" s="9">
        <f>ROUND(G69*$R$2,0)</f>
        <v>158</v>
      </c>
      <c r="I69" s="9">
        <f>任务金币!D69</f>
        <v>5</v>
      </c>
      <c r="J69" s="9">
        <f>I69*任务金币!C69</f>
        <v>21100</v>
      </c>
      <c r="L69" s="9">
        <v>1</v>
      </c>
      <c r="M69" s="9">
        <f>ROUND(F69*L69,0)</f>
        <v>211</v>
      </c>
      <c r="N69" s="9">
        <f>ROUND(M69*$R$3,0)</f>
        <v>63</v>
      </c>
      <c r="O69" s="9">
        <v>0.1</v>
      </c>
    </row>
    <row r="70" spans="1:15" ht="20.100000000000001" customHeight="1" x14ac:dyDescent="0.2">
      <c r="A70" s="8">
        <v>69</v>
      </c>
      <c r="B70" s="9">
        <f>[1]首页经验!D70</f>
        <v>2.4500000000000002</v>
      </c>
      <c r="C70" s="9">
        <f t="shared" si="3"/>
        <v>1209500</v>
      </c>
      <c r="D70" s="9">
        <f>SUM($C$2:C70)</f>
        <v>23712410</v>
      </c>
      <c r="E70" s="9">
        <f>(H70+N70)*$R$4</f>
        <v>450000</v>
      </c>
      <c r="F70" s="9">
        <f>怪物金币!B70</f>
        <v>214</v>
      </c>
      <c r="G70" s="9">
        <f t="shared" si="4"/>
        <v>1070</v>
      </c>
      <c r="H70" s="9">
        <f>ROUND(G70*$R$2,0)</f>
        <v>161</v>
      </c>
      <c r="I70" s="9">
        <f>任务金币!D70</f>
        <v>5</v>
      </c>
      <c r="J70" s="9">
        <f>I70*任务金币!C70</f>
        <v>21400</v>
      </c>
      <c r="L70" s="9">
        <v>1</v>
      </c>
      <c r="M70" s="9">
        <f>ROUND(F70*L70,0)</f>
        <v>214</v>
      </c>
      <c r="N70" s="9">
        <f>ROUND(M70*$R$3,0)</f>
        <v>64</v>
      </c>
      <c r="O70" s="9">
        <v>0.1</v>
      </c>
    </row>
    <row r="71" spans="1:15" ht="20.100000000000001" customHeight="1" x14ac:dyDescent="0.2">
      <c r="A71" s="8">
        <v>70</v>
      </c>
      <c r="B71" s="9">
        <f>[1]首页经验!D71</f>
        <v>2.52</v>
      </c>
      <c r="C71" s="9">
        <f t="shared" si="3"/>
        <v>1257620</v>
      </c>
      <c r="D71" s="9">
        <f>SUM($C$2:C71)</f>
        <v>24970030</v>
      </c>
      <c r="E71" s="9">
        <f>(H71+N71)*$R$4</f>
        <v>456000</v>
      </c>
      <c r="F71" s="9">
        <f>怪物金币!B71</f>
        <v>217</v>
      </c>
      <c r="G71" s="9">
        <f t="shared" si="4"/>
        <v>1085</v>
      </c>
      <c r="H71" s="9">
        <f>ROUND(G71*$R$2,0)</f>
        <v>163</v>
      </c>
      <c r="I71" s="9">
        <f>任务金币!D71</f>
        <v>5</v>
      </c>
      <c r="J71" s="9">
        <f>I71*任务金币!C71</f>
        <v>21700</v>
      </c>
      <c r="L71" s="9">
        <v>1</v>
      </c>
      <c r="M71" s="9">
        <f>ROUND(F71*L71,0)</f>
        <v>217</v>
      </c>
      <c r="N71" s="9">
        <f>ROUND(M71*$R$3,0)</f>
        <v>65</v>
      </c>
      <c r="O71" s="9">
        <v>0.1</v>
      </c>
    </row>
    <row r="72" spans="1:15" ht="20.100000000000001" customHeight="1" x14ac:dyDescent="0.2"/>
    <row r="73" spans="1:15" ht="20.100000000000001" customHeight="1" x14ac:dyDescent="0.2"/>
    <row r="74" spans="1:15" ht="20.100000000000001" customHeight="1" x14ac:dyDescent="0.2"/>
    <row r="75" spans="1:15" ht="20.100000000000001" customHeight="1" x14ac:dyDescent="0.2"/>
    <row r="76" spans="1:15" ht="20.100000000000001" customHeight="1" x14ac:dyDescent="0.2"/>
    <row r="77" spans="1:15" ht="20.100000000000001" customHeight="1" x14ac:dyDescent="0.2"/>
    <row r="78" spans="1:15" ht="20.100000000000001" customHeight="1" x14ac:dyDescent="0.2"/>
    <row r="79" spans="1:15" ht="20.100000000000001" customHeight="1" x14ac:dyDescent="0.2"/>
    <row r="80" spans="1:15" ht="20.100000000000001" customHeight="1" x14ac:dyDescent="0.2"/>
    <row r="81" ht="20.100000000000001" customHeight="1" x14ac:dyDescent="0.2"/>
    <row r="82" ht="20.100000000000001" customHeight="1" x14ac:dyDescent="0.2"/>
    <row r="83" ht="20.100000000000001" customHeight="1" x14ac:dyDescent="0.2"/>
    <row r="84" ht="20.100000000000001" customHeight="1" x14ac:dyDescent="0.2"/>
    <row r="85" ht="20.100000000000001" customHeight="1" x14ac:dyDescent="0.2"/>
    <row r="86" ht="20.100000000000001" customHeight="1" x14ac:dyDescent="0.2"/>
    <row r="87" ht="20.100000000000001" customHeight="1" x14ac:dyDescent="0.2"/>
    <row r="88" ht="20.100000000000001" customHeight="1" x14ac:dyDescent="0.2"/>
    <row r="89" ht="20.100000000000001" customHeight="1" x14ac:dyDescent="0.2"/>
    <row r="90" ht="20.100000000000001" customHeight="1" x14ac:dyDescent="0.2"/>
    <row r="91" ht="20.100000000000001" customHeight="1" x14ac:dyDescent="0.2"/>
    <row r="92" ht="20.100000000000001" customHeight="1" x14ac:dyDescent="0.2"/>
    <row r="93" ht="20.100000000000001" customHeight="1" x14ac:dyDescent="0.2"/>
    <row r="94" ht="20.100000000000001" customHeight="1" x14ac:dyDescent="0.2"/>
    <row r="95" ht="20.100000000000001" customHeight="1" x14ac:dyDescent="0.2"/>
    <row r="96" ht="20.100000000000001" customHeight="1" x14ac:dyDescent="0.2"/>
    <row r="97" ht="20.100000000000001" customHeight="1" x14ac:dyDescent="0.2"/>
    <row r="98" ht="20.100000000000001" customHeight="1" x14ac:dyDescent="0.2"/>
    <row r="99" ht="20.100000000000001" customHeight="1" x14ac:dyDescent="0.2"/>
    <row r="100" ht="20.100000000000001" customHeight="1" x14ac:dyDescent="0.2"/>
    <row r="101" ht="20.100000000000001" customHeight="1" x14ac:dyDescent="0.2"/>
    <row r="102" ht="20.100000000000001" customHeight="1" x14ac:dyDescent="0.2"/>
    <row r="103" ht="20.100000000000001" customHeight="1" x14ac:dyDescent="0.2"/>
    <row r="104" ht="20.100000000000001" customHeight="1" x14ac:dyDescent="0.2"/>
    <row r="105" ht="20.100000000000001" customHeight="1" x14ac:dyDescent="0.2"/>
    <row r="106" ht="20.100000000000001" customHeight="1" x14ac:dyDescent="0.2"/>
    <row r="107" ht="20.100000000000001" customHeight="1" x14ac:dyDescent="0.2"/>
    <row r="108" ht="20.100000000000001" customHeight="1" x14ac:dyDescent="0.2"/>
    <row r="109" ht="20.100000000000001" customHeight="1" x14ac:dyDescent="0.2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74C1-3BD9-4D22-A31C-08EC5535A69D}">
  <dimension ref="A1:D80"/>
  <sheetViews>
    <sheetView workbookViewId="0">
      <selection activeCell="D2" sqref="D2"/>
    </sheetView>
  </sheetViews>
  <sheetFormatPr defaultRowHeight="14.25" x14ac:dyDescent="0.2"/>
  <cols>
    <col min="1" max="2" width="9" style="2"/>
    <col min="3" max="3" width="15" style="2" bestFit="1" customWidth="1"/>
    <col min="4" max="4" width="9" style="2"/>
  </cols>
  <sheetData>
    <row r="1" spans="1:4" s="3" customFormat="1" ht="20.100000000000001" customHeight="1" x14ac:dyDescent="0.2">
      <c r="A1" s="5" t="s">
        <v>1</v>
      </c>
      <c r="B1" s="5" t="s">
        <v>21</v>
      </c>
      <c r="C1" s="5" t="s">
        <v>22</v>
      </c>
      <c r="D1" s="5" t="s">
        <v>23</v>
      </c>
    </row>
    <row r="2" spans="1:4" s="3" customFormat="1" ht="20.100000000000001" customHeight="1" x14ac:dyDescent="0.2">
      <c r="A2" s="2">
        <v>1</v>
      </c>
      <c r="B2" s="2">
        <v>5</v>
      </c>
      <c r="C2" s="2">
        <f>怪物金币!B2*B2</f>
        <v>50</v>
      </c>
      <c r="D2" s="2">
        <v>1</v>
      </c>
    </row>
    <row r="3" spans="1:4" s="3" customFormat="1" ht="20.100000000000001" customHeight="1" x14ac:dyDescent="0.2">
      <c r="A3" s="2">
        <v>2</v>
      </c>
      <c r="B3" s="2">
        <v>5</v>
      </c>
      <c r="C3" s="2">
        <f>怪物金币!B3*B3</f>
        <v>65</v>
      </c>
      <c r="D3" s="2">
        <v>1</v>
      </c>
    </row>
    <row r="4" spans="1:4" s="3" customFormat="1" ht="20.100000000000001" customHeight="1" x14ac:dyDescent="0.2">
      <c r="A4" s="2">
        <v>3</v>
      </c>
      <c r="B4" s="2">
        <v>5</v>
      </c>
      <c r="C4" s="2">
        <f>怪物金币!B4*B4</f>
        <v>80</v>
      </c>
      <c r="D4" s="2">
        <v>1</v>
      </c>
    </row>
    <row r="5" spans="1:4" s="3" customFormat="1" ht="20.100000000000001" customHeight="1" x14ac:dyDescent="0.2">
      <c r="A5" s="2">
        <v>4</v>
      </c>
      <c r="B5" s="2">
        <v>10</v>
      </c>
      <c r="C5" s="2">
        <f>怪物金币!B5*B5</f>
        <v>190</v>
      </c>
      <c r="D5" s="2">
        <v>2</v>
      </c>
    </row>
    <row r="6" spans="1:4" s="3" customFormat="1" ht="20.100000000000001" customHeight="1" x14ac:dyDescent="0.2">
      <c r="A6" s="2">
        <v>5</v>
      </c>
      <c r="B6" s="2">
        <v>10</v>
      </c>
      <c r="C6" s="2">
        <f>怪物金币!B6*B6</f>
        <v>220</v>
      </c>
      <c r="D6" s="2">
        <v>2</v>
      </c>
    </row>
    <row r="7" spans="1:4" s="3" customFormat="1" ht="20.100000000000001" customHeight="1" x14ac:dyDescent="0.2">
      <c r="A7" s="2">
        <v>6</v>
      </c>
      <c r="B7" s="2">
        <v>10</v>
      </c>
      <c r="C7" s="2">
        <f>怪物金币!B7*B7</f>
        <v>250</v>
      </c>
      <c r="D7" s="2">
        <v>2</v>
      </c>
    </row>
    <row r="8" spans="1:4" s="3" customFormat="1" ht="20.100000000000001" customHeight="1" x14ac:dyDescent="0.2">
      <c r="A8" s="2">
        <v>7</v>
      </c>
      <c r="B8" s="2">
        <v>15</v>
      </c>
      <c r="C8" s="2">
        <f>怪物金币!B8*B8</f>
        <v>420</v>
      </c>
      <c r="D8" s="2">
        <v>3</v>
      </c>
    </row>
    <row r="9" spans="1:4" s="3" customFormat="1" ht="20.100000000000001" customHeight="1" x14ac:dyDescent="0.2">
      <c r="A9" s="2">
        <v>8</v>
      </c>
      <c r="B9" s="2">
        <v>15</v>
      </c>
      <c r="C9" s="2">
        <f>怪物金币!B9*B9</f>
        <v>465</v>
      </c>
      <c r="D9" s="2">
        <v>3</v>
      </c>
    </row>
    <row r="10" spans="1:4" s="3" customFormat="1" ht="20.100000000000001" customHeight="1" x14ac:dyDescent="0.2">
      <c r="A10" s="2">
        <v>9</v>
      </c>
      <c r="B10" s="2">
        <v>15</v>
      </c>
      <c r="C10" s="2">
        <f>怪物金币!B10*B10</f>
        <v>510</v>
      </c>
      <c r="D10" s="2">
        <v>3</v>
      </c>
    </row>
    <row r="11" spans="1:4" s="3" customFormat="1" ht="20.100000000000001" customHeight="1" x14ac:dyDescent="0.2">
      <c r="A11" s="2">
        <v>10</v>
      </c>
      <c r="B11" s="2">
        <v>20</v>
      </c>
      <c r="C11" s="2">
        <f>怪物金币!B11*B11</f>
        <v>740</v>
      </c>
      <c r="D11" s="2">
        <v>3</v>
      </c>
    </row>
    <row r="12" spans="1:4" s="3" customFormat="1" ht="20.100000000000001" customHeight="1" x14ac:dyDescent="0.2">
      <c r="A12" s="2">
        <v>11</v>
      </c>
      <c r="B12" s="2">
        <v>20</v>
      </c>
      <c r="C12" s="2">
        <f>怪物金币!B12*B12</f>
        <v>800</v>
      </c>
      <c r="D12" s="2">
        <v>4</v>
      </c>
    </row>
    <row r="13" spans="1:4" s="3" customFormat="1" ht="20.100000000000001" customHeight="1" x14ac:dyDescent="0.2">
      <c r="A13" s="2">
        <v>12</v>
      </c>
      <c r="B13" s="2">
        <v>20</v>
      </c>
      <c r="C13" s="2">
        <f>怪物金币!B13*B13</f>
        <v>860</v>
      </c>
      <c r="D13" s="2">
        <v>4</v>
      </c>
    </row>
    <row r="14" spans="1:4" s="3" customFormat="1" ht="20.100000000000001" customHeight="1" x14ac:dyDescent="0.2">
      <c r="A14" s="2">
        <v>13</v>
      </c>
      <c r="B14" s="2">
        <v>20</v>
      </c>
      <c r="C14" s="2">
        <f>怪物金币!B14*B14</f>
        <v>920</v>
      </c>
      <c r="D14" s="2">
        <v>4</v>
      </c>
    </row>
    <row r="15" spans="1:4" s="3" customFormat="1" ht="20.100000000000001" customHeight="1" x14ac:dyDescent="0.2">
      <c r="A15" s="2">
        <v>14</v>
      </c>
      <c r="B15" s="2">
        <v>20</v>
      </c>
      <c r="C15" s="2">
        <f>怪物金币!B15*B15</f>
        <v>980</v>
      </c>
      <c r="D15" s="2">
        <v>4</v>
      </c>
    </row>
    <row r="16" spans="1:4" s="3" customFormat="1" ht="20.100000000000001" customHeight="1" x14ac:dyDescent="0.2">
      <c r="A16" s="2">
        <v>15</v>
      </c>
      <c r="B16" s="2">
        <v>20</v>
      </c>
      <c r="C16" s="2">
        <f>怪物金币!B16*B16</f>
        <v>1040</v>
      </c>
      <c r="D16" s="2">
        <v>5</v>
      </c>
    </row>
    <row r="17" spans="1:4" s="3" customFormat="1" ht="20.100000000000001" customHeight="1" x14ac:dyDescent="0.2">
      <c r="A17" s="2">
        <v>16</v>
      </c>
      <c r="B17" s="2">
        <v>20</v>
      </c>
      <c r="C17" s="2">
        <f>怪物金币!B17*B17</f>
        <v>1100</v>
      </c>
      <c r="D17" s="2">
        <v>5</v>
      </c>
    </row>
    <row r="18" spans="1:4" s="3" customFormat="1" ht="20.100000000000001" customHeight="1" x14ac:dyDescent="0.2">
      <c r="A18" s="2">
        <v>17</v>
      </c>
      <c r="B18" s="2">
        <v>20</v>
      </c>
      <c r="C18" s="2">
        <f>怪物金币!B18*B18</f>
        <v>1160</v>
      </c>
      <c r="D18" s="2">
        <v>5</v>
      </c>
    </row>
    <row r="19" spans="1:4" s="3" customFormat="1" ht="20.100000000000001" customHeight="1" x14ac:dyDescent="0.2">
      <c r="A19" s="2">
        <v>18</v>
      </c>
      <c r="B19" s="2">
        <v>20</v>
      </c>
      <c r="C19" s="2">
        <f>怪物金币!B19*B19</f>
        <v>1220</v>
      </c>
      <c r="D19" s="2">
        <v>5</v>
      </c>
    </row>
    <row r="20" spans="1:4" s="3" customFormat="1" ht="20.100000000000001" customHeight="1" x14ac:dyDescent="0.2">
      <c r="A20" s="2">
        <v>19</v>
      </c>
      <c r="B20" s="2">
        <v>20</v>
      </c>
      <c r="C20" s="2">
        <f>怪物金币!B20*B20</f>
        <v>1280</v>
      </c>
      <c r="D20" s="2">
        <v>5</v>
      </c>
    </row>
    <row r="21" spans="1:4" s="3" customFormat="1" ht="20.100000000000001" customHeight="1" x14ac:dyDescent="0.2">
      <c r="A21" s="2">
        <v>20</v>
      </c>
      <c r="B21" s="2">
        <v>20</v>
      </c>
      <c r="C21" s="2">
        <f>怪物金币!B21*B21</f>
        <v>1340</v>
      </c>
      <c r="D21" s="2">
        <v>5</v>
      </c>
    </row>
    <row r="22" spans="1:4" s="3" customFormat="1" ht="20.100000000000001" customHeight="1" x14ac:dyDescent="0.2">
      <c r="A22" s="2">
        <v>21</v>
      </c>
      <c r="B22" s="2">
        <v>20</v>
      </c>
      <c r="C22" s="2">
        <f>怪物金币!B22*B22</f>
        <v>1400</v>
      </c>
      <c r="D22" s="2">
        <v>5</v>
      </c>
    </row>
    <row r="23" spans="1:4" s="3" customFormat="1" ht="20.100000000000001" customHeight="1" x14ac:dyDescent="0.2">
      <c r="A23" s="2">
        <v>22</v>
      </c>
      <c r="B23" s="2">
        <v>20</v>
      </c>
      <c r="C23" s="2">
        <f>怪物金币!B23*B23</f>
        <v>1460</v>
      </c>
      <c r="D23" s="2">
        <v>5</v>
      </c>
    </row>
    <row r="24" spans="1:4" s="3" customFormat="1" ht="20.100000000000001" customHeight="1" x14ac:dyDescent="0.2">
      <c r="A24" s="2">
        <v>23</v>
      </c>
      <c r="B24" s="2">
        <v>20</v>
      </c>
      <c r="C24" s="2">
        <f>怪物金币!B24*B24</f>
        <v>1520</v>
      </c>
      <c r="D24" s="2">
        <v>5</v>
      </c>
    </row>
    <row r="25" spans="1:4" s="3" customFormat="1" ht="20.100000000000001" customHeight="1" x14ac:dyDescent="0.2">
      <c r="A25" s="2">
        <v>24</v>
      </c>
      <c r="B25" s="2">
        <v>20</v>
      </c>
      <c r="C25" s="2">
        <f>怪物金币!B25*B25</f>
        <v>1580</v>
      </c>
      <c r="D25" s="2">
        <v>5</v>
      </c>
    </row>
    <row r="26" spans="1:4" s="3" customFormat="1" ht="20.100000000000001" customHeight="1" x14ac:dyDescent="0.2">
      <c r="A26" s="2">
        <v>25</v>
      </c>
      <c r="B26" s="2">
        <v>20</v>
      </c>
      <c r="C26" s="2">
        <f>怪物金币!B26*B26</f>
        <v>1640</v>
      </c>
      <c r="D26" s="2">
        <v>5</v>
      </c>
    </row>
    <row r="27" spans="1:4" s="3" customFormat="1" ht="20.100000000000001" customHeight="1" x14ac:dyDescent="0.2">
      <c r="A27" s="2">
        <v>26</v>
      </c>
      <c r="B27" s="2">
        <v>20</v>
      </c>
      <c r="C27" s="2">
        <f>怪物金币!B27*B27</f>
        <v>1700</v>
      </c>
      <c r="D27" s="2">
        <v>5</v>
      </c>
    </row>
    <row r="28" spans="1:4" s="3" customFormat="1" ht="20.100000000000001" customHeight="1" x14ac:dyDescent="0.2">
      <c r="A28" s="2">
        <v>27</v>
      </c>
      <c r="B28" s="2">
        <v>20</v>
      </c>
      <c r="C28" s="2">
        <f>怪物金币!B28*B28</f>
        <v>1760</v>
      </c>
      <c r="D28" s="2">
        <v>5</v>
      </c>
    </row>
    <row r="29" spans="1:4" s="3" customFormat="1" ht="20.100000000000001" customHeight="1" x14ac:dyDescent="0.2">
      <c r="A29" s="2">
        <v>28</v>
      </c>
      <c r="B29" s="2">
        <v>20</v>
      </c>
      <c r="C29" s="2">
        <f>怪物金币!B29*B29</f>
        <v>1820</v>
      </c>
      <c r="D29" s="2">
        <v>5</v>
      </c>
    </row>
    <row r="30" spans="1:4" s="3" customFormat="1" ht="20.100000000000001" customHeight="1" x14ac:dyDescent="0.2">
      <c r="A30" s="2">
        <v>29</v>
      </c>
      <c r="B30" s="2">
        <v>20</v>
      </c>
      <c r="C30" s="2">
        <f>怪物金币!B30*B30</f>
        <v>1880</v>
      </c>
      <c r="D30" s="2">
        <v>5</v>
      </c>
    </row>
    <row r="31" spans="1:4" s="3" customFormat="1" ht="20.100000000000001" customHeight="1" x14ac:dyDescent="0.2">
      <c r="A31" s="2">
        <v>30</v>
      </c>
      <c r="B31" s="2">
        <v>20</v>
      </c>
      <c r="C31" s="2">
        <f>怪物金币!B31*B31</f>
        <v>1940</v>
      </c>
      <c r="D31" s="2">
        <v>5</v>
      </c>
    </row>
    <row r="32" spans="1:4" s="3" customFormat="1" ht="20.100000000000001" customHeight="1" x14ac:dyDescent="0.2">
      <c r="A32" s="2">
        <v>31</v>
      </c>
      <c r="B32" s="2">
        <v>20</v>
      </c>
      <c r="C32" s="2">
        <f>怪物金币!B32*B32</f>
        <v>2000</v>
      </c>
      <c r="D32" s="2">
        <v>5</v>
      </c>
    </row>
    <row r="33" spans="1:4" s="3" customFormat="1" ht="20.100000000000001" customHeight="1" x14ac:dyDescent="0.2">
      <c r="A33" s="2">
        <v>32</v>
      </c>
      <c r="B33" s="2">
        <v>20</v>
      </c>
      <c r="C33" s="2">
        <f>怪物金币!B33*B33</f>
        <v>2060</v>
      </c>
      <c r="D33" s="2">
        <v>5</v>
      </c>
    </row>
    <row r="34" spans="1:4" s="3" customFormat="1" ht="20.100000000000001" customHeight="1" x14ac:dyDescent="0.2">
      <c r="A34" s="2">
        <v>33</v>
      </c>
      <c r="B34" s="2">
        <v>20</v>
      </c>
      <c r="C34" s="2">
        <f>怪物金币!B34*B34</f>
        <v>2120</v>
      </c>
      <c r="D34" s="2">
        <v>5</v>
      </c>
    </row>
    <row r="35" spans="1:4" s="3" customFormat="1" ht="20.100000000000001" customHeight="1" x14ac:dyDescent="0.2">
      <c r="A35" s="2">
        <v>34</v>
      </c>
      <c r="B35" s="2">
        <v>20</v>
      </c>
      <c r="C35" s="2">
        <f>怪物金币!B35*B35</f>
        <v>2180</v>
      </c>
      <c r="D35" s="2">
        <v>5</v>
      </c>
    </row>
    <row r="36" spans="1:4" s="3" customFormat="1" ht="20.100000000000001" customHeight="1" x14ac:dyDescent="0.2">
      <c r="A36" s="2">
        <v>35</v>
      </c>
      <c r="B36" s="2">
        <v>20</v>
      </c>
      <c r="C36" s="2">
        <f>怪物金币!B36*B36</f>
        <v>2240</v>
      </c>
      <c r="D36" s="2">
        <v>5</v>
      </c>
    </row>
    <row r="37" spans="1:4" s="3" customFormat="1" ht="20.100000000000001" customHeight="1" x14ac:dyDescent="0.2">
      <c r="A37" s="2">
        <v>36</v>
      </c>
      <c r="B37" s="2">
        <v>20</v>
      </c>
      <c r="C37" s="2">
        <f>怪物金币!B37*B37</f>
        <v>2300</v>
      </c>
      <c r="D37" s="2">
        <v>5</v>
      </c>
    </row>
    <row r="38" spans="1:4" s="3" customFormat="1" ht="20.100000000000001" customHeight="1" x14ac:dyDescent="0.2">
      <c r="A38" s="2">
        <v>37</v>
      </c>
      <c r="B38" s="2">
        <v>20</v>
      </c>
      <c r="C38" s="2">
        <f>怪物金币!B38*B38</f>
        <v>2360</v>
      </c>
      <c r="D38" s="2">
        <v>5</v>
      </c>
    </row>
    <row r="39" spans="1:4" s="3" customFormat="1" ht="20.100000000000001" customHeight="1" x14ac:dyDescent="0.2">
      <c r="A39" s="2">
        <v>38</v>
      </c>
      <c r="B39" s="2">
        <v>20</v>
      </c>
      <c r="C39" s="2">
        <f>怪物金币!B39*B39</f>
        <v>2420</v>
      </c>
      <c r="D39" s="2">
        <v>5</v>
      </c>
    </row>
    <row r="40" spans="1:4" s="3" customFormat="1" ht="20.100000000000001" customHeight="1" x14ac:dyDescent="0.2">
      <c r="A40" s="2">
        <v>39</v>
      </c>
      <c r="B40" s="2">
        <v>20</v>
      </c>
      <c r="C40" s="2">
        <f>怪物金币!B40*B40</f>
        <v>2480</v>
      </c>
      <c r="D40" s="2">
        <v>5</v>
      </c>
    </row>
    <row r="41" spans="1:4" s="3" customFormat="1" ht="20.100000000000001" customHeight="1" x14ac:dyDescent="0.2">
      <c r="A41" s="2">
        <v>40</v>
      </c>
      <c r="B41" s="2">
        <v>20</v>
      </c>
      <c r="C41" s="2">
        <f>怪物金币!B41*B41</f>
        <v>2540</v>
      </c>
      <c r="D41" s="2">
        <v>5</v>
      </c>
    </row>
    <row r="42" spans="1:4" s="3" customFormat="1" ht="20.100000000000001" customHeight="1" x14ac:dyDescent="0.2">
      <c r="A42" s="2">
        <v>41</v>
      </c>
      <c r="B42" s="2">
        <v>20</v>
      </c>
      <c r="C42" s="2">
        <f>怪物金币!B42*B42</f>
        <v>2600</v>
      </c>
      <c r="D42" s="2">
        <v>5</v>
      </c>
    </row>
    <row r="43" spans="1:4" s="3" customFormat="1" ht="20.100000000000001" customHeight="1" x14ac:dyDescent="0.2">
      <c r="A43" s="2">
        <v>42</v>
      </c>
      <c r="B43" s="2">
        <v>20</v>
      </c>
      <c r="C43" s="2">
        <f>怪物金币!B43*B43</f>
        <v>2660</v>
      </c>
      <c r="D43" s="2">
        <v>5</v>
      </c>
    </row>
    <row r="44" spans="1:4" s="3" customFormat="1" ht="20.100000000000001" customHeight="1" x14ac:dyDescent="0.2">
      <c r="A44" s="2">
        <v>43</v>
      </c>
      <c r="B44" s="2">
        <v>20</v>
      </c>
      <c r="C44" s="2">
        <f>怪物金币!B44*B44</f>
        <v>2720</v>
      </c>
      <c r="D44" s="2">
        <v>5</v>
      </c>
    </row>
    <row r="45" spans="1:4" s="3" customFormat="1" ht="20.100000000000001" customHeight="1" x14ac:dyDescent="0.2">
      <c r="A45" s="2">
        <v>44</v>
      </c>
      <c r="B45" s="2">
        <v>20</v>
      </c>
      <c r="C45" s="2">
        <f>怪物金币!B45*B45</f>
        <v>2780</v>
      </c>
      <c r="D45" s="2">
        <v>5</v>
      </c>
    </row>
    <row r="46" spans="1:4" s="3" customFormat="1" ht="20.100000000000001" customHeight="1" x14ac:dyDescent="0.2">
      <c r="A46" s="2">
        <v>45</v>
      </c>
      <c r="B46" s="2">
        <v>20</v>
      </c>
      <c r="C46" s="2">
        <f>怪物金币!B46*B46</f>
        <v>2840</v>
      </c>
      <c r="D46" s="2">
        <v>5</v>
      </c>
    </row>
    <row r="47" spans="1:4" s="3" customFormat="1" ht="20.100000000000001" customHeight="1" x14ac:dyDescent="0.2">
      <c r="A47" s="2">
        <v>46</v>
      </c>
      <c r="B47" s="2">
        <v>20</v>
      </c>
      <c r="C47" s="2">
        <f>怪物金币!B47*B47</f>
        <v>2900</v>
      </c>
      <c r="D47" s="2">
        <v>5</v>
      </c>
    </row>
    <row r="48" spans="1:4" s="3" customFormat="1" ht="20.100000000000001" customHeight="1" x14ac:dyDescent="0.2">
      <c r="A48" s="2">
        <v>47</v>
      </c>
      <c r="B48" s="2">
        <v>20</v>
      </c>
      <c r="C48" s="2">
        <f>怪物金币!B48*B48</f>
        <v>2960</v>
      </c>
      <c r="D48" s="2">
        <v>5</v>
      </c>
    </row>
    <row r="49" spans="1:4" s="3" customFormat="1" ht="20.100000000000001" customHeight="1" x14ac:dyDescent="0.2">
      <c r="A49" s="2">
        <v>48</v>
      </c>
      <c r="B49" s="2">
        <v>20</v>
      </c>
      <c r="C49" s="2">
        <f>怪物金币!B49*B49</f>
        <v>3020</v>
      </c>
      <c r="D49" s="2">
        <v>5</v>
      </c>
    </row>
    <row r="50" spans="1:4" s="3" customFormat="1" ht="20.100000000000001" customHeight="1" x14ac:dyDescent="0.2">
      <c r="A50" s="2">
        <v>49</v>
      </c>
      <c r="B50" s="2">
        <v>20</v>
      </c>
      <c r="C50" s="2">
        <f>怪物金币!B50*B50</f>
        <v>3080</v>
      </c>
      <c r="D50" s="2">
        <v>5</v>
      </c>
    </row>
    <row r="51" spans="1:4" s="3" customFormat="1" ht="20.100000000000001" customHeight="1" x14ac:dyDescent="0.2">
      <c r="A51" s="2">
        <v>50</v>
      </c>
      <c r="B51" s="2">
        <v>20</v>
      </c>
      <c r="C51" s="2">
        <f>怪物金币!B51*B51</f>
        <v>3140</v>
      </c>
      <c r="D51" s="2">
        <v>5</v>
      </c>
    </row>
    <row r="52" spans="1:4" s="3" customFormat="1" ht="20.100000000000001" customHeight="1" x14ac:dyDescent="0.2">
      <c r="A52" s="2">
        <v>51</v>
      </c>
      <c r="B52" s="2">
        <v>20</v>
      </c>
      <c r="C52" s="2">
        <f>怪物金币!B52*B52</f>
        <v>3200</v>
      </c>
      <c r="D52" s="2">
        <v>5</v>
      </c>
    </row>
    <row r="53" spans="1:4" s="3" customFormat="1" ht="20.100000000000001" customHeight="1" x14ac:dyDescent="0.2">
      <c r="A53" s="2">
        <v>52</v>
      </c>
      <c r="B53" s="2">
        <v>20</v>
      </c>
      <c r="C53" s="2">
        <f>怪物金币!B53*B53</f>
        <v>3260</v>
      </c>
      <c r="D53" s="2">
        <v>5</v>
      </c>
    </row>
    <row r="54" spans="1:4" s="3" customFormat="1" ht="20.100000000000001" customHeight="1" x14ac:dyDescent="0.2">
      <c r="A54" s="2">
        <v>53</v>
      </c>
      <c r="B54" s="2">
        <v>20</v>
      </c>
      <c r="C54" s="2">
        <f>怪物金币!B54*B54</f>
        <v>3320</v>
      </c>
      <c r="D54" s="2">
        <v>5</v>
      </c>
    </row>
    <row r="55" spans="1:4" s="3" customFormat="1" ht="20.100000000000001" customHeight="1" x14ac:dyDescent="0.2">
      <c r="A55" s="2">
        <v>54</v>
      </c>
      <c r="B55" s="2">
        <v>20</v>
      </c>
      <c r="C55" s="2">
        <f>怪物金币!B55*B55</f>
        <v>3380</v>
      </c>
      <c r="D55" s="2">
        <v>5</v>
      </c>
    </row>
    <row r="56" spans="1:4" s="3" customFormat="1" ht="20.100000000000001" customHeight="1" x14ac:dyDescent="0.2">
      <c r="A56" s="2">
        <v>55</v>
      </c>
      <c r="B56" s="2">
        <v>20</v>
      </c>
      <c r="C56" s="2">
        <f>怪物金币!B56*B56</f>
        <v>3440</v>
      </c>
      <c r="D56" s="2">
        <v>5</v>
      </c>
    </row>
    <row r="57" spans="1:4" s="3" customFormat="1" ht="20.100000000000001" customHeight="1" x14ac:dyDescent="0.2">
      <c r="A57" s="2">
        <v>56</v>
      </c>
      <c r="B57" s="2">
        <v>20</v>
      </c>
      <c r="C57" s="2">
        <f>怪物金币!B57*B57</f>
        <v>3500</v>
      </c>
      <c r="D57" s="2">
        <v>5</v>
      </c>
    </row>
    <row r="58" spans="1:4" s="3" customFormat="1" ht="20.100000000000001" customHeight="1" x14ac:dyDescent="0.2">
      <c r="A58" s="2">
        <v>57</v>
      </c>
      <c r="B58" s="2">
        <v>20</v>
      </c>
      <c r="C58" s="2">
        <f>怪物金币!B58*B58</f>
        <v>3560</v>
      </c>
      <c r="D58" s="2">
        <v>5</v>
      </c>
    </row>
    <row r="59" spans="1:4" s="3" customFormat="1" ht="20.100000000000001" customHeight="1" x14ac:dyDescent="0.2">
      <c r="A59" s="2">
        <v>58</v>
      </c>
      <c r="B59" s="2">
        <v>20</v>
      </c>
      <c r="C59" s="2">
        <f>怪物金币!B59*B59</f>
        <v>3620</v>
      </c>
      <c r="D59" s="2">
        <v>5</v>
      </c>
    </row>
    <row r="60" spans="1:4" s="3" customFormat="1" ht="20.100000000000001" customHeight="1" x14ac:dyDescent="0.2">
      <c r="A60" s="2">
        <v>59</v>
      </c>
      <c r="B60" s="2">
        <v>20</v>
      </c>
      <c r="C60" s="2">
        <f>怪物金币!B60*B60</f>
        <v>3680</v>
      </c>
      <c r="D60" s="2">
        <v>5</v>
      </c>
    </row>
    <row r="61" spans="1:4" s="3" customFormat="1" ht="20.100000000000001" customHeight="1" x14ac:dyDescent="0.2">
      <c r="A61" s="2">
        <v>60</v>
      </c>
      <c r="B61" s="2">
        <v>20</v>
      </c>
      <c r="C61" s="2">
        <f>怪物金币!B61*B61</f>
        <v>3740</v>
      </c>
      <c r="D61" s="2">
        <v>5</v>
      </c>
    </row>
    <row r="62" spans="1:4" s="3" customFormat="1" ht="20.100000000000001" customHeight="1" x14ac:dyDescent="0.2">
      <c r="A62" s="2">
        <v>61</v>
      </c>
      <c r="B62" s="2">
        <v>20</v>
      </c>
      <c r="C62" s="2">
        <f>怪物金币!B62*B62</f>
        <v>3800</v>
      </c>
      <c r="D62" s="2">
        <v>5</v>
      </c>
    </row>
    <row r="63" spans="1:4" s="3" customFormat="1" ht="20.100000000000001" customHeight="1" x14ac:dyDescent="0.2">
      <c r="A63" s="2">
        <v>62</v>
      </c>
      <c r="B63" s="2">
        <v>20</v>
      </c>
      <c r="C63" s="2">
        <f>怪物金币!B63*B63</f>
        <v>3860</v>
      </c>
      <c r="D63" s="2">
        <v>5</v>
      </c>
    </row>
    <row r="64" spans="1:4" s="3" customFormat="1" ht="20.100000000000001" customHeight="1" x14ac:dyDescent="0.2">
      <c r="A64" s="2">
        <v>63</v>
      </c>
      <c r="B64" s="2">
        <v>20</v>
      </c>
      <c r="C64" s="2">
        <f>怪物金币!B64*B64</f>
        <v>3920</v>
      </c>
      <c r="D64" s="2">
        <v>5</v>
      </c>
    </row>
    <row r="65" spans="1:4" s="3" customFormat="1" ht="20.100000000000001" customHeight="1" x14ac:dyDescent="0.2">
      <c r="A65" s="2">
        <v>64</v>
      </c>
      <c r="B65" s="2">
        <v>20</v>
      </c>
      <c r="C65" s="2">
        <f>怪物金币!B65*B65</f>
        <v>3980</v>
      </c>
      <c r="D65" s="2">
        <v>5</v>
      </c>
    </row>
    <row r="66" spans="1:4" s="3" customFormat="1" ht="20.100000000000001" customHeight="1" x14ac:dyDescent="0.2">
      <c r="A66" s="2">
        <v>65</v>
      </c>
      <c r="B66" s="2">
        <v>20</v>
      </c>
      <c r="C66" s="2">
        <f>怪物金币!B66*B66</f>
        <v>4040</v>
      </c>
      <c r="D66" s="2">
        <v>5</v>
      </c>
    </row>
    <row r="67" spans="1:4" s="3" customFormat="1" ht="20.100000000000001" customHeight="1" x14ac:dyDescent="0.2">
      <c r="A67" s="2">
        <v>66</v>
      </c>
      <c r="B67" s="2">
        <v>20</v>
      </c>
      <c r="C67" s="2">
        <f>怪物金币!B67*B67</f>
        <v>4100</v>
      </c>
      <c r="D67" s="2">
        <v>5</v>
      </c>
    </row>
    <row r="68" spans="1:4" s="3" customFormat="1" ht="20.100000000000001" customHeight="1" x14ac:dyDescent="0.2">
      <c r="A68" s="2">
        <v>67</v>
      </c>
      <c r="B68" s="2">
        <v>20</v>
      </c>
      <c r="C68" s="2">
        <f>怪物金币!B68*B68</f>
        <v>4160</v>
      </c>
      <c r="D68" s="2">
        <v>5</v>
      </c>
    </row>
    <row r="69" spans="1:4" s="3" customFormat="1" ht="20.100000000000001" customHeight="1" x14ac:dyDescent="0.2">
      <c r="A69" s="2">
        <v>68</v>
      </c>
      <c r="B69" s="2">
        <v>20</v>
      </c>
      <c r="C69" s="2">
        <f>怪物金币!B69*B69</f>
        <v>4220</v>
      </c>
      <c r="D69" s="2">
        <v>5</v>
      </c>
    </row>
    <row r="70" spans="1:4" s="3" customFormat="1" ht="20.100000000000001" customHeight="1" x14ac:dyDescent="0.2">
      <c r="A70" s="2">
        <v>69</v>
      </c>
      <c r="B70" s="2">
        <v>20</v>
      </c>
      <c r="C70" s="2">
        <f>怪物金币!B70*B70</f>
        <v>4280</v>
      </c>
      <c r="D70" s="2">
        <v>5</v>
      </c>
    </row>
    <row r="71" spans="1:4" s="3" customFormat="1" ht="20.100000000000001" customHeight="1" x14ac:dyDescent="0.2">
      <c r="A71" s="2">
        <v>70</v>
      </c>
      <c r="B71" s="2">
        <v>20</v>
      </c>
      <c r="C71" s="2">
        <f>怪物金币!B71*B71</f>
        <v>4340</v>
      </c>
      <c r="D71" s="2">
        <v>5</v>
      </c>
    </row>
    <row r="72" spans="1:4" s="3" customFormat="1" ht="20.100000000000001" customHeight="1" x14ac:dyDescent="0.2">
      <c r="A72" s="2"/>
      <c r="B72" s="2"/>
      <c r="C72" s="2"/>
      <c r="D72" s="2"/>
    </row>
    <row r="73" spans="1:4" s="3" customFormat="1" ht="20.100000000000001" customHeight="1" x14ac:dyDescent="0.2">
      <c r="A73" s="2"/>
      <c r="B73" s="2"/>
      <c r="C73" s="2"/>
      <c r="D73" s="2"/>
    </row>
    <row r="74" spans="1:4" s="3" customFormat="1" ht="20.100000000000001" customHeight="1" x14ac:dyDescent="0.2">
      <c r="A74" s="2"/>
      <c r="B74" s="2"/>
      <c r="C74" s="2"/>
      <c r="D74" s="2"/>
    </row>
    <row r="75" spans="1:4" s="3" customFormat="1" ht="20.100000000000001" customHeight="1" x14ac:dyDescent="0.2">
      <c r="A75" s="2"/>
      <c r="B75" s="2"/>
      <c r="C75" s="2"/>
      <c r="D75" s="2"/>
    </row>
    <row r="76" spans="1:4" s="3" customFormat="1" ht="20.100000000000001" customHeight="1" x14ac:dyDescent="0.2">
      <c r="A76" s="2"/>
      <c r="B76" s="2"/>
      <c r="C76" s="2"/>
      <c r="D76" s="2"/>
    </row>
    <row r="77" spans="1:4" s="3" customFormat="1" ht="20.100000000000001" customHeight="1" x14ac:dyDescent="0.2">
      <c r="A77" s="2"/>
      <c r="B77" s="2"/>
      <c r="C77" s="2"/>
      <c r="D77" s="2"/>
    </row>
    <row r="78" spans="1:4" s="3" customFormat="1" ht="20.100000000000001" customHeight="1" x14ac:dyDescent="0.2">
      <c r="A78" s="2"/>
      <c r="B78" s="2"/>
      <c r="C78" s="2"/>
      <c r="D78" s="2"/>
    </row>
    <row r="79" spans="1:4" s="3" customFormat="1" ht="20.100000000000001" customHeight="1" x14ac:dyDescent="0.2">
      <c r="A79" s="2"/>
      <c r="B79" s="2"/>
      <c r="C79" s="2"/>
      <c r="D79" s="2"/>
    </row>
    <row r="80" spans="1:4" s="3" customFormat="1" ht="20.100000000000001" customHeight="1" x14ac:dyDescent="0.2">
      <c r="A80" s="2"/>
      <c r="B80" s="2"/>
      <c r="C80" s="2"/>
      <c r="D80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172A-9E4D-4847-A39F-E944C256B032}">
  <dimension ref="A1:B100"/>
  <sheetViews>
    <sheetView workbookViewId="0">
      <selection activeCell="C19" sqref="C19"/>
    </sheetView>
  </sheetViews>
  <sheetFormatPr defaultRowHeight="14.25" x14ac:dyDescent="0.2"/>
  <cols>
    <col min="1" max="2" width="9" style="2"/>
  </cols>
  <sheetData>
    <row r="1" spans="1:2" ht="20.100000000000001" customHeight="1" x14ac:dyDescent="0.2">
      <c r="A1" s="5" t="s">
        <v>1</v>
      </c>
      <c r="B1" s="5" t="s">
        <v>20</v>
      </c>
    </row>
    <row r="2" spans="1:2" ht="20.100000000000001" customHeight="1" x14ac:dyDescent="0.2">
      <c r="A2" s="2">
        <v>1</v>
      </c>
      <c r="B2" s="2">
        <v>10</v>
      </c>
    </row>
    <row r="3" spans="1:2" ht="20.100000000000001" customHeight="1" x14ac:dyDescent="0.2">
      <c r="A3" s="2">
        <v>2</v>
      </c>
      <c r="B3" s="2">
        <f t="shared" ref="B3:B66" si="0">B2+3</f>
        <v>13</v>
      </c>
    </row>
    <row r="4" spans="1:2" ht="20.100000000000001" customHeight="1" x14ac:dyDescent="0.2">
      <c r="A4" s="2">
        <v>3</v>
      </c>
      <c r="B4" s="2">
        <f t="shared" si="0"/>
        <v>16</v>
      </c>
    </row>
    <row r="5" spans="1:2" ht="20.100000000000001" customHeight="1" x14ac:dyDescent="0.2">
      <c r="A5" s="2">
        <v>4</v>
      </c>
      <c r="B5" s="2">
        <f t="shared" si="0"/>
        <v>19</v>
      </c>
    </row>
    <row r="6" spans="1:2" ht="20.100000000000001" customHeight="1" x14ac:dyDescent="0.2">
      <c r="A6" s="2">
        <v>5</v>
      </c>
      <c r="B6" s="2">
        <f t="shared" si="0"/>
        <v>22</v>
      </c>
    </row>
    <row r="7" spans="1:2" ht="20.100000000000001" customHeight="1" x14ac:dyDescent="0.2">
      <c r="A7" s="2">
        <v>6</v>
      </c>
      <c r="B7" s="2">
        <f t="shared" si="0"/>
        <v>25</v>
      </c>
    </row>
    <row r="8" spans="1:2" ht="20.100000000000001" customHeight="1" x14ac:dyDescent="0.2">
      <c r="A8" s="2">
        <v>7</v>
      </c>
      <c r="B8" s="2">
        <f t="shared" si="0"/>
        <v>28</v>
      </c>
    </row>
    <row r="9" spans="1:2" ht="20.100000000000001" customHeight="1" x14ac:dyDescent="0.2">
      <c r="A9" s="2">
        <v>8</v>
      </c>
      <c r="B9" s="2">
        <f t="shared" si="0"/>
        <v>31</v>
      </c>
    </row>
    <row r="10" spans="1:2" ht="20.100000000000001" customHeight="1" x14ac:dyDescent="0.2">
      <c r="A10" s="2">
        <v>9</v>
      </c>
      <c r="B10" s="2">
        <f t="shared" si="0"/>
        <v>34</v>
      </c>
    </row>
    <row r="11" spans="1:2" ht="20.100000000000001" customHeight="1" x14ac:dyDescent="0.2">
      <c r="A11" s="2">
        <v>10</v>
      </c>
      <c r="B11" s="2">
        <f t="shared" si="0"/>
        <v>37</v>
      </c>
    </row>
    <row r="12" spans="1:2" ht="20.100000000000001" customHeight="1" x14ac:dyDescent="0.2">
      <c r="A12" s="2">
        <v>11</v>
      </c>
      <c r="B12" s="2">
        <f t="shared" si="0"/>
        <v>40</v>
      </c>
    </row>
    <row r="13" spans="1:2" ht="20.100000000000001" customHeight="1" x14ac:dyDescent="0.2">
      <c r="A13" s="2">
        <v>12</v>
      </c>
      <c r="B13" s="2">
        <f t="shared" si="0"/>
        <v>43</v>
      </c>
    </row>
    <row r="14" spans="1:2" ht="20.100000000000001" customHeight="1" x14ac:dyDescent="0.2">
      <c r="A14" s="2">
        <v>13</v>
      </c>
      <c r="B14" s="2">
        <f t="shared" si="0"/>
        <v>46</v>
      </c>
    </row>
    <row r="15" spans="1:2" ht="20.100000000000001" customHeight="1" x14ac:dyDescent="0.2">
      <c r="A15" s="2">
        <v>14</v>
      </c>
      <c r="B15" s="2">
        <f t="shared" si="0"/>
        <v>49</v>
      </c>
    </row>
    <row r="16" spans="1:2" ht="20.100000000000001" customHeight="1" x14ac:dyDescent="0.2">
      <c r="A16" s="2">
        <v>15</v>
      </c>
      <c r="B16" s="2">
        <f t="shared" si="0"/>
        <v>52</v>
      </c>
    </row>
    <row r="17" spans="1:2" ht="20.100000000000001" customHeight="1" x14ac:dyDescent="0.2">
      <c r="A17" s="2">
        <v>16</v>
      </c>
      <c r="B17" s="2">
        <f t="shared" si="0"/>
        <v>55</v>
      </c>
    </row>
    <row r="18" spans="1:2" ht="20.100000000000001" customHeight="1" x14ac:dyDescent="0.2">
      <c r="A18" s="2">
        <v>17</v>
      </c>
      <c r="B18" s="2">
        <f t="shared" si="0"/>
        <v>58</v>
      </c>
    </row>
    <row r="19" spans="1:2" ht="20.100000000000001" customHeight="1" x14ac:dyDescent="0.2">
      <c r="A19" s="2">
        <v>18</v>
      </c>
      <c r="B19" s="2">
        <f t="shared" si="0"/>
        <v>61</v>
      </c>
    </row>
    <row r="20" spans="1:2" ht="20.100000000000001" customHeight="1" x14ac:dyDescent="0.2">
      <c r="A20" s="2">
        <v>19</v>
      </c>
      <c r="B20" s="2">
        <f t="shared" si="0"/>
        <v>64</v>
      </c>
    </row>
    <row r="21" spans="1:2" ht="20.100000000000001" customHeight="1" x14ac:dyDescent="0.2">
      <c r="A21" s="2">
        <v>20</v>
      </c>
      <c r="B21" s="2">
        <f t="shared" si="0"/>
        <v>67</v>
      </c>
    </row>
    <row r="22" spans="1:2" ht="20.100000000000001" customHeight="1" x14ac:dyDescent="0.2">
      <c r="A22" s="2">
        <v>21</v>
      </c>
      <c r="B22" s="2">
        <f t="shared" si="0"/>
        <v>70</v>
      </c>
    </row>
    <row r="23" spans="1:2" ht="20.100000000000001" customHeight="1" x14ac:dyDescent="0.2">
      <c r="A23" s="2">
        <v>22</v>
      </c>
      <c r="B23" s="2">
        <f t="shared" si="0"/>
        <v>73</v>
      </c>
    </row>
    <row r="24" spans="1:2" ht="20.100000000000001" customHeight="1" x14ac:dyDescent="0.2">
      <c r="A24" s="2">
        <v>23</v>
      </c>
      <c r="B24" s="2">
        <f t="shared" si="0"/>
        <v>76</v>
      </c>
    </row>
    <row r="25" spans="1:2" ht="20.100000000000001" customHeight="1" x14ac:dyDescent="0.2">
      <c r="A25" s="2">
        <v>24</v>
      </c>
      <c r="B25" s="2">
        <f t="shared" si="0"/>
        <v>79</v>
      </c>
    </row>
    <row r="26" spans="1:2" ht="20.100000000000001" customHeight="1" x14ac:dyDescent="0.2">
      <c r="A26" s="2">
        <v>25</v>
      </c>
      <c r="B26" s="2">
        <f t="shared" si="0"/>
        <v>82</v>
      </c>
    </row>
    <row r="27" spans="1:2" ht="20.100000000000001" customHeight="1" x14ac:dyDescent="0.2">
      <c r="A27" s="2">
        <v>26</v>
      </c>
      <c r="B27" s="2">
        <f t="shared" si="0"/>
        <v>85</v>
      </c>
    </row>
    <row r="28" spans="1:2" ht="20.100000000000001" customHeight="1" x14ac:dyDescent="0.2">
      <c r="A28" s="2">
        <v>27</v>
      </c>
      <c r="B28" s="2">
        <f t="shared" si="0"/>
        <v>88</v>
      </c>
    </row>
    <row r="29" spans="1:2" ht="20.100000000000001" customHeight="1" x14ac:dyDescent="0.2">
      <c r="A29" s="2">
        <v>28</v>
      </c>
      <c r="B29" s="2">
        <f t="shared" si="0"/>
        <v>91</v>
      </c>
    </row>
    <row r="30" spans="1:2" ht="20.100000000000001" customHeight="1" x14ac:dyDescent="0.2">
      <c r="A30" s="2">
        <v>29</v>
      </c>
      <c r="B30" s="2">
        <f t="shared" si="0"/>
        <v>94</v>
      </c>
    </row>
    <row r="31" spans="1:2" ht="20.100000000000001" customHeight="1" x14ac:dyDescent="0.2">
      <c r="A31" s="2">
        <v>30</v>
      </c>
      <c r="B31" s="2">
        <f t="shared" si="0"/>
        <v>97</v>
      </c>
    </row>
    <row r="32" spans="1:2" ht="20.100000000000001" customHeight="1" x14ac:dyDescent="0.2">
      <c r="A32" s="2">
        <v>31</v>
      </c>
      <c r="B32" s="2">
        <f t="shared" si="0"/>
        <v>100</v>
      </c>
    </row>
    <row r="33" spans="1:2" ht="20.100000000000001" customHeight="1" x14ac:dyDescent="0.2">
      <c r="A33" s="2">
        <v>32</v>
      </c>
      <c r="B33" s="2">
        <f t="shared" si="0"/>
        <v>103</v>
      </c>
    </row>
    <row r="34" spans="1:2" ht="20.100000000000001" customHeight="1" x14ac:dyDescent="0.2">
      <c r="A34" s="2">
        <v>33</v>
      </c>
      <c r="B34" s="2">
        <f t="shared" si="0"/>
        <v>106</v>
      </c>
    </row>
    <row r="35" spans="1:2" ht="20.100000000000001" customHeight="1" x14ac:dyDescent="0.2">
      <c r="A35" s="2">
        <v>34</v>
      </c>
      <c r="B35" s="2">
        <f t="shared" si="0"/>
        <v>109</v>
      </c>
    </row>
    <row r="36" spans="1:2" ht="20.100000000000001" customHeight="1" x14ac:dyDescent="0.2">
      <c r="A36" s="2">
        <v>35</v>
      </c>
      <c r="B36" s="2">
        <f t="shared" si="0"/>
        <v>112</v>
      </c>
    </row>
    <row r="37" spans="1:2" ht="20.100000000000001" customHeight="1" x14ac:dyDescent="0.2">
      <c r="A37" s="2">
        <v>36</v>
      </c>
      <c r="B37" s="2">
        <f t="shared" si="0"/>
        <v>115</v>
      </c>
    </row>
    <row r="38" spans="1:2" ht="20.100000000000001" customHeight="1" x14ac:dyDescent="0.2">
      <c r="A38" s="2">
        <v>37</v>
      </c>
      <c r="B38" s="2">
        <f t="shared" si="0"/>
        <v>118</v>
      </c>
    </row>
    <row r="39" spans="1:2" ht="20.100000000000001" customHeight="1" x14ac:dyDescent="0.2">
      <c r="A39" s="2">
        <v>38</v>
      </c>
      <c r="B39" s="2">
        <f t="shared" si="0"/>
        <v>121</v>
      </c>
    </row>
    <row r="40" spans="1:2" ht="20.100000000000001" customHeight="1" x14ac:dyDescent="0.2">
      <c r="A40" s="2">
        <v>39</v>
      </c>
      <c r="B40" s="2">
        <f t="shared" si="0"/>
        <v>124</v>
      </c>
    </row>
    <row r="41" spans="1:2" ht="20.100000000000001" customHeight="1" x14ac:dyDescent="0.2">
      <c r="A41" s="2">
        <v>40</v>
      </c>
      <c r="B41" s="2">
        <f t="shared" si="0"/>
        <v>127</v>
      </c>
    </row>
    <row r="42" spans="1:2" ht="20.100000000000001" customHeight="1" x14ac:dyDescent="0.2">
      <c r="A42" s="2">
        <v>41</v>
      </c>
      <c r="B42" s="2">
        <f t="shared" si="0"/>
        <v>130</v>
      </c>
    </row>
    <row r="43" spans="1:2" ht="20.100000000000001" customHeight="1" x14ac:dyDescent="0.2">
      <c r="A43" s="2">
        <v>42</v>
      </c>
      <c r="B43" s="2">
        <f t="shared" si="0"/>
        <v>133</v>
      </c>
    </row>
    <row r="44" spans="1:2" ht="20.100000000000001" customHeight="1" x14ac:dyDescent="0.2">
      <c r="A44" s="2">
        <v>43</v>
      </c>
      <c r="B44" s="2">
        <f t="shared" si="0"/>
        <v>136</v>
      </c>
    </row>
    <row r="45" spans="1:2" ht="20.100000000000001" customHeight="1" x14ac:dyDescent="0.2">
      <c r="A45" s="2">
        <v>44</v>
      </c>
      <c r="B45" s="2">
        <f t="shared" si="0"/>
        <v>139</v>
      </c>
    </row>
    <row r="46" spans="1:2" ht="20.100000000000001" customHeight="1" x14ac:dyDescent="0.2">
      <c r="A46" s="2">
        <v>45</v>
      </c>
      <c r="B46" s="2">
        <f t="shared" si="0"/>
        <v>142</v>
      </c>
    </row>
    <row r="47" spans="1:2" ht="20.100000000000001" customHeight="1" x14ac:dyDescent="0.2">
      <c r="A47" s="2">
        <v>46</v>
      </c>
      <c r="B47" s="2">
        <f t="shared" si="0"/>
        <v>145</v>
      </c>
    </row>
    <row r="48" spans="1:2" ht="20.100000000000001" customHeight="1" x14ac:dyDescent="0.2">
      <c r="A48" s="2">
        <v>47</v>
      </c>
      <c r="B48" s="2">
        <f t="shared" si="0"/>
        <v>148</v>
      </c>
    </row>
    <row r="49" spans="1:2" ht="20.100000000000001" customHeight="1" x14ac:dyDescent="0.2">
      <c r="A49" s="2">
        <v>48</v>
      </c>
      <c r="B49" s="2">
        <f t="shared" si="0"/>
        <v>151</v>
      </c>
    </row>
    <row r="50" spans="1:2" ht="20.100000000000001" customHeight="1" x14ac:dyDescent="0.2">
      <c r="A50" s="2">
        <v>49</v>
      </c>
      <c r="B50" s="2">
        <f t="shared" si="0"/>
        <v>154</v>
      </c>
    </row>
    <row r="51" spans="1:2" ht="20.100000000000001" customHeight="1" x14ac:dyDescent="0.2">
      <c r="A51" s="2">
        <v>50</v>
      </c>
      <c r="B51" s="2">
        <f t="shared" si="0"/>
        <v>157</v>
      </c>
    </row>
    <row r="52" spans="1:2" ht="20.100000000000001" customHeight="1" x14ac:dyDescent="0.2">
      <c r="A52" s="2">
        <v>51</v>
      </c>
      <c r="B52" s="2">
        <f t="shared" si="0"/>
        <v>160</v>
      </c>
    </row>
    <row r="53" spans="1:2" ht="20.100000000000001" customHeight="1" x14ac:dyDescent="0.2">
      <c r="A53" s="2">
        <v>52</v>
      </c>
      <c r="B53" s="2">
        <f t="shared" si="0"/>
        <v>163</v>
      </c>
    </row>
    <row r="54" spans="1:2" ht="20.100000000000001" customHeight="1" x14ac:dyDescent="0.2">
      <c r="A54" s="2">
        <v>53</v>
      </c>
      <c r="B54" s="2">
        <f t="shared" si="0"/>
        <v>166</v>
      </c>
    </row>
    <row r="55" spans="1:2" ht="20.100000000000001" customHeight="1" x14ac:dyDescent="0.2">
      <c r="A55" s="2">
        <v>54</v>
      </c>
      <c r="B55" s="2">
        <f t="shared" si="0"/>
        <v>169</v>
      </c>
    </row>
    <row r="56" spans="1:2" ht="20.100000000000001" customHeight="1" x14ac:dyDescent="0.2">
      <c r="A56" s="2">
        <v>55</v>
      </c>
      <c r="B56" s="2">
        <f t="shared" si="0"/>
        <v>172</v>
      </c>
    </row>
    <row r="57" spans="1:2" ht="20.100000000000001" customHeight="1" x14ac:dyDescent="0.2">
      <c r="A57" s="2">
        <v>56</v>
      </c>
      <c r="B57" s="2">
        <f t="shared" si="0"/>
        <v>175</v>
      </c>
    </row>
    <row r="58" spans="1:2" ht="20.100000000000001" customHeight="1" x14ac:dyDescent="0.2">
      <c r="A58" s="2">
        <v>57</v>
      </c>
      <c r="B58" s="2">
        <f t="shared" si="0"/>
        <v>178</v>
      </c>
    </row>
    <row r="59" spans="1:2" ht="20.100000000000001" customHeight="1" x14ac:dyDescent="0.2">
      <c r="A59" s="2">
        <v>58</v>
      </c>
      <c r="B59" s="2">
        <f t="shared" si="0"/>
        <v>181</v>
      </c>
    </row>
    <row r="60" spans="1:2" ht="20.100000000000001" customHeight="1" x14ac:dyDescent="0.2">
      <c r="A60" s="2">
        <v>59</v>
      </c>
      <c r="B60" s="2">
        <f t="shared" si="0"/>
        <v>184</v>
      </c>
    </row>
    <row r="61" spans="1:2" ht="20.100000000000001" customHeight="1" x14ac:dyDescent="0.2">
      <c r="A61" s="2">
        <v>60</v>
      </c>
      <c r="B61" s="2">
        <f t="shared" si="0"/>
        <v>187</v>
      </c>
    </row>
    <row r="62" spans="1:2" ht="20.100000000000001" customHeight="1" x14ac:dyDescent="0.2">
      <c r="A62" s="2">
        <v>61</v>
      </c>
      <c r="B62" s="2">
        <f t="shared" si="0"/>
        <v>190</v>
      </c>
    </row>
    <row r="63" spans="1:2" ht="20.100000000000001" customHeight="1" x14ac:dyDescent="0.2">
      <c r="A63" s="2">
        <v>62</v>
      </c>
      <c r="B63" s="2">
        <f t="shared" si="0"/>
        <v>193</v>
      </c>
    </row>
    <row r="64" spans="1:2" ht="20.100000000000001" customHeight="1" x14ac:dyDescent="0.2">
      <c r="A64" s="2">
        <v>63</v>
      </c>
      <c r="B64" s="2">
        <f t="shared" si="0"/>
        <v>196</v>
      </c>
    </row>
    <row r="65" spans="1:2" ht="20.100000000000001" customHeight="1" x14ac:dyDescent="0.2">
      <c r="A65" s="2">
        <v>64</v>
      </c>
      <c r="B65" s="2">
        <f t="shared" si="0"/>
        <v>199</v>
      </c>
    </row>
    <row r="66" spans="1:2" ht="20.100000000000001" customHeight="1" x14ac:dyDescent="0.2">
      <c r="A66" s="2">
        <v>65</v>
      </c>
      <c r="B66" s="2">
        <f t="shared" si="0"/>
        <v>202</v>
      </c>
    </row>
    <row r="67" spans="1:2" ht="20.100000000000001" customHeight="1" x14ac:dyDescent="0.2">
      <c r="A67" s="2">
        <v>66</v>
      </c>
      <c r="B67" s="2">
        <f t="shared" ref="B67:B71" si="1">B66+3</f>
        <v>205</v>
      </c>
    </row>
    <row r="68" spans="1:2" ht="20.100000000000001" customHeight="1" x14ac:dyDescent="0.2">
      <c r="A68" s="2">
        <v>67</v>
      </c>
      <c r="B68" s="2">
        <f t="shared" si="1"/>
        <v>208</v>
      </c>
    </row>
    <row r="69" spans="1:2" ht="20.100000000000001" customHeight="1" x14ac:dyDescent="0.2">
      <c r="A69" s="2">
        <v>68</v>
      </c>
      <c r="B69" s="2">
        <f t="shared" si="1"/>
        <v>211</v>
      </c>
    </row>
    <row r="70" spans="1:2" ht="20.100000000000001" customHeight="1" x14ac:dyDescent="0.2">
      <c r="A70" s="2">
        <v>69</v>
      </c>
      <c r="B70" s="2">
        <f t="shared" si="1"/>
        <v>214</v>
      </c>
    </row>
    <row r="71" spans="1:2" ht="20.100000000000001" customHeight="1" x14ac:dyDescent="0.2">
      <c r="A71" s="2">
        <v>70</v>
      </c>
      <c r="B71" s="2">
        <f t="shared" si="1"/>
        <v>217</v>
      </c>
    </row>
    <row r="72" spans="1:2" ht="20.100000000000001" customHeight="1" x14ac:dyDescent="0.2"/>
    <row r="73" spans="1:2" ht="20.100000000000001" customHeight="1" x14ac:dyDescent="0.2"/>
    <row r="74" spans="1:2" ht="20.100000000000001" customHeight="1" x14ac:dyDescent="0.2"/>
    <row r="75" spans="1:2" ht="20.100000000000001" customHeight="1" x14ac:dyDescent="0.2"/>
    <row r="76" spans="1:2" ht="20.100000000000001" customHeight="1" x14ac:dyDescent="0.2"/>
    <row r="77" spans="1:2" ht="20.100000000000001" customHeight="1" x14ac:dyDescent="0.2"/>
    <row r="78" spans="1:2" ht="20.100000000000001" customHeight="1" x14ac:dyDescent="0.2"/>
    <row r="79" spans="1:2" ht="20.100000000000001" customHeight="1" x14ac:dyDescent="0.2"/>
    <row r="80" spans="1:2" ht="20.100000000000001" customHeight="1" x14ac:dyDescent="0.2"/>
    <row r="81" ht="20.100000000000001" customHeight="1" x14ac:dyDescent="0.2"/>
    <row r="82" ht="20.100000000000001" customHeight="1" x14ac:dyDescent="0.2"/>
    <row r="83" ht="20.100000000000001" customHeight="1" x14ac:dyDescent="0.2"/>
    <row r="84" ht="20.100000000000001" customHeight="1" x14ac:dyDescent="0.2"/>
    <row r="85" ht="20.100000000000001" customHeight="1" x14ac:dyDescent="0.2"/>
    <row r="86" ht="20.100000000000001" customHeight="1" x14ac:dyDescent="0.2"/>
    <row r="87" ht="20.100000000000001" customHeight="1" x14ac:dyDescent="0.2"/>
    <row r="88" ht="20.100000000000001" customHeight="1" x14ac:dyDescent="0.2"/>
    <row r="89" ht="20.100000000000001" customHeight="1" x14ac:dyDescent="0.2"/>
    <row r="90" ht="20.100000000000001" customHeight="1" x14ac:dyDescent="0.2"/>
    <row r="91" ht="20.100000000000001" customHeight="1" x14ac:dyDescent="0.2"/>
    <row r="92" ht="20.100000000000001" customHeight="1" x14ac:dyDescent="0.2"/>
    <row r="93" ht="20.100000000000001" customHeight="1" x14ac:dyDescent="0.2"/>
    <row r="94" ht="20.100000000000001" customHeight="1" x14ac:dyDescent="0.2"/>
    <row r="95" ht="20.100000000000001" customHeight="1" x14ac:dyDescent="0.2"/>
    <row r="96" ht="20.100000000000001" customHeight="1" x14ac:dyDescent="0.2"/>
    <row r="97" ht="20.100000000000001" customHeight="1" x14ac:dyDescent="0.2"/>
    <row r="98" ht="20.100000000000001" customHeight="1" x14ac:dyDescent="0.2"/>
    <row r="99" ht="20.100000000000001" customHeight="1" x14ac:dyDescent="0.2"/>
    <row r="100" ht="20.100000000000001" customHeight="1" x14ac:dyDescent="0.2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首页</vt:lpstr>
      <vt:lpstr>任务金币</vt:lpstr>
      <vt:lpstr>怪物金币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xiaojin chen</cp:lastModifiedBy>
  <dcterms:created xsi:type="dcterms:W3CDTF">2015-06-05T18:19:34Z</dcterms:created>
  <dcterms:modified xsi:type="dcterms:W3CDTF">2025-10-11T07:53:19Z</dcterms:modified>
</cp:coreProperties>
</file>